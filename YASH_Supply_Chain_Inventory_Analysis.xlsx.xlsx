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D:\SCH\New folder\"/>
    </mc:Choice>
  </mc:AlternateContent>
  <xr:revisionPtr revIDLastSave="0" documentId="13_ncr:1_{786D9717-5887-4A83-A499-CE38299D80C4}" xr6:coauthVersionLast="47" xr6:coauthVersionMax="47" xr10:uidLastSave="{00000000-0000-0000-0000-000000000000}"/>
  <bookViews>
    <workbookView xWindow="-108" yWindow="-108" windowWidth="23256" windowHeight="12456" tabRatio="735" activeTab="3" xr2:uid="{00000000-000D-0000-FFFF-FFFF00000000}"/>
  </bookViews>
  <sheets>
    <sheet name="Orders" sheetId="1" r:id="rId1"/>
    <sheet name="Products" sheetId="2" r:id="rId2"/>
    <sheet name="Suppliers" sheetId="3" r:id="rId3"/>
    <sheet name="Inventory" sheetId="4" r:id="rId4"/>
    <sheet name="Sales" sheetId="5" r:id="rId5"/>
    <sheet name="Metrics" sheetId="6" r:id="rId6"/>
    <sheet name="ABC_Analysis" sheetId="7" r:id="rId7"/>
    <sheet name="Inventory_Health" sheetId="8" r:id="rId8"/>
    <sheet name="DASHBOARD" sheetId="11" r:id="rId9"/>
  </sheets>
  <calcPr calcId="191029"/>
  <pivotCaches>
    <pivotCache cacheId="7" r:id="rId10"/>
    <pivotCache cacheId="1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1" l="1"/>
  <c r="E4" i="11"/>
  <c r="C4" i="11"/>
  <c r="A4" i="11"/>
  <c r="E6" i="8"/>
  <c r="C6" i="8"/>
  <c r="B6" i="8"/>
  <c r="E5" i="8"/>
  <c r="C5" i="8"/>
  <c r="B5" i="8"/>
  <c r="E4" i="8"/>
  <c r="C4" i="8"/>
  <c r="B4" i="8"/>
  <c r="E3" i="8"/>
  <c r="C3" i="8"/>
  <c r="B3" i="8"/>
  <c r="E2" i="8"/>
  <c r="C2" i="8"/>
  <c r="B2" i="8"/>
  <c r="B3" i="7"/>
  <c r="B6" i="7"/>
  <c r="B4" i="7"/>
  <c r="B5" i="7"/>
  <c r="B2" i="7"/>
  <c r="E12" i="6"/>
  <c r="D12" i="6"/>
  <c r="B12" i="6"/>
  <c r="E11" i="6"/>
  <c r="D11" i="6"/>
  <c r="B11" i="6"/>
  <c r="E10" i="6"/>
  <c r="D10" i="6"/>
  <c r="B10" i="6"/>
  <c r="E9" i="6"/>
  <c r="D9" i="6"/>
  <c r="B9" i="6"/>
  <c r="E8" i="6"/>
  <c r="D8" i="6"/>
  <c r="B8" i="6"/>
  <c r="B4" i="6"/>
  <c r="B3" i="6"/>
  <c r="B2" i="6"/>
  <c r="O21" i="1"/>
  <c r="N21" i="1"/>
  <c r="L21" i="1"/>
  <c r="M21" i="1" s="1"/>
  <c r="K21" i="1"/>
  <c r="J21" i="1"/>
  <c r="O20" i="1"/>
  <c r="L20" i="1"/>
  <c r="K20" i="1"/>
  <c r="J20" i="1"/>
  <c r="O19" i="1"/>
  <c r="L19" i="1"/>
  <c r="K19" i="1"/>
  <c r="J19" i="1"/>
  <c r="O18" i="1"/>
  <c r="L18" i="1"/>
  <c r="K18" i="1"/>
  <c r="J18" i="1"/>
  <c r="O17" i="1"/>
  <c r="L17" i="1"/>
  <c r="K17" i="1"/>
  <c r="J17" i="1"/>
  <c r="O16" i="1"/>
  <c r="L16" i="1"/>
  <c r="K16" i="1"/>
  <c r="J16" i="1"/>
  <c r="O15" i="1"/>
  <c r="L15" i="1"/>
  <c r="K15" i="1"/>
  <c r="J15" i="1"/>
  <c r="O14" i="1"/>
  <c r="L14" i="1"/>
  <c r="K14" i="1"/>
  <c r="J14" i="1"/>
  <c r="O13" i="1"/>
  <c r="L13" i="1"/>
  <c r="K13" i="1"/>
  <c r="J13" i="1"/>
  <c r="O12" i="1"/>
  <c r="L12" i="1"/>
  <c r="K12" i="1"/>
  <c r="J12" i="1"/>
  <c r="O11" i="1"/>
  <c r="L11" i="1"/>
  <c r="K11" i="1"/>
  <c r="J11" i="1"/>
  <c r="O10" i="1"/>
  <c r="L10" i="1"/>
  <c r="K10" i="1"/>
  <c r="J10" i="1"/>
  <c r="O9" i="1"/>
  <c r="L9" i="1"/>
  <c r="K9" i="1"/>
  <c r="J9" i="1"/>
  <c r="O8" i="1"/>
  <c r="L8" i="1"/>
  <c r="K8" i="1"/>
  <c r="J8" i="1"/>
  <c r="C12" i="6" s="1"/>
  <c r="O7" i="1"/>
  <c r="L7" i="1"/>
  <c r="K7" i="1"/>
  <c r="J7" i="1"/>
  <c r="O6" i="1"/>
  <c r="L6" i="1"/>
  <c r="K6" i="1"/>
  <c r="J6" i="1"/>
  <c r="C11" i="6" s="1"/>
  <c r="O5" i="1"/>
  <c r="L5" i="1"/>
  <c r="K5" i="1"/>
  <c r="E4" i="6" s="1"/>
  <c r="J5" i="1"/>
  <c r="F4" i="6" s="1"/>
  <c r="O4" i="1"/>
  <c r="L4" i="1"/>
  <c r="K4" i="1"/>
  <c r="J4" i="1"/>
  <c r="C10" i="6" s="1"/>
  <c r="O3" i="1"/>
  <c r="L3" i="1"/>
  <c r="K3" i="1"/>
  <c r="E3" i="6" s="1"/>
  <c r="J3" i="1"/>
  <c r="O2" i="1"/>
  <c r="L2" i="1"/>
  <c r="K2" i="1"/>
  <c r="E2" i="6" s="1"/>
  <c r="J2" i="1"/>
  <c r="M18" i="1" l="1"/>
  <c r="N18" i="1"/>
  <c r="M7" i="1"/>
  <c r="N7" i="1"/>
  <c r="C9" i="6"/>
  <c r="F3" i="6"/>
  <c r="C8" i="6"/>
  <c r="F2" i="6"/>
  <c r="C6" i="7"/>
  <c r="D6" i="7" s="1"/>
  <c r="E6" i="7" s="1"/>
  <c r="C3" i="7"/>
  <c r="D3" i="7" s="1"/>
  <c r="E3" i="7" s="1"/>
  <c r="C4" i="7"/>
  <c r="D4" i="7" s="1"/>
  <c r="E4" i="7" s="1"/>
  <c r="C5" i="7"/>
  <c r="D5" i="7" s="1"/>
  <c r="E5" i="7" s="1"/>
  <c r="C2" i="7"/>
  <c r="D2" i="7" s="1"/>
  <c r="E2" i="7" s="1"/>
  <c r="D6" i="8"/>
  <c r="F6" i="8" s="1"/>
  <c r="D5" i="8"/>
  <c r="F5" i="8" s="1"/>
  <c r="D4" i="8"/>
  <c r="F4" i="8" s="1"/>
  <c r="D3" i="8"/>
  <c r="F3" i="8" s="1"/>
  <c r="D2" i="8"/>
  <c r="F2" i="8" s="1"/>
  <c r="N20" i="1"/>
  <c r="M20" i="1"/>
  <c r="N19" i="1"/>
  <c r="M19" i="1"/>
  <c r="N17" i="1"/>
  <c r="M17" i="1"/>
  <c r="N16" i="1"/>
  <c r="M16" i="1"/>
  <c r="N15" i="1"/>
  <c r="M15" i="1"/>
  <c r="N14" i="1"/>
  <c r="M14" i="1"/>
  <c r="M13" i="1"/>
  <c r="N13" i="1"/>
  <c r="N12" i="1"/>
  <c r="M12" i="1"/>
  <c r="N11" i="1"/>
  <c r="M11" i="1"/>
  <c r="N10" i="1"/>
  <c r="M10" i="1"/>
  <c r="N9" i="1"/>
  <c r="M9" i="1"/>
  <c r="N8" i="1"/>
  <c r="M8" i="1"/>
  <c r="N6" i="1"/>
  <c r="M6" i="1"/>
  <c r="N5" i="1"/>
  <c r="M5" i="1"/>
  <c r="C4" i="6" s="1"/>
  <c r="D4" i="6" s="1"/>
  <c r="N4" i="1"/>
  <c r="M4" i="1"/>
  <c r="M3" i="1"/>
  <c r="C3" i="6" s="1"/>
  <c r="D3" i="6" s="1"/>
  <c r="N3" i="1"/>
  <c r="M2" i="1"/>
  <c r="C2" i="6" s="1"/>
  <c r="D2" i="6" s="1"/>
  <c r="N2" i="1"/>
</calcChain>
</file>

<file path=xl/sharedStrings.xml><?xml version="1.0" encoding="utf-8"?>
<sst xmlns="http://schemas.openxmlformats.org/spreadsheetml/2006/main" count="274" uniqueCount="90">
  <si>
    <t>OrderID</t>
  </si>
  <si>
    <t>OrderDate</t>
  </si>
  <si>
    <t>ProductID</t>
  </si>
  <si>
    <t>Quantity</t>
  </si>
  <si>
    <t>UnitCost</t>
  </si>
  <si>
    <t>SupplierID</t>
  </si>
  <si>
    <t>PromisedDate</t>
  </si>
  <si>
    <t>DeliveredDate</t>
  </si>
  <si>
    <t>Warehouse</t>
  </si>
  <si>
    <t>TotalCost</t>
  </si>
  <si>
    <t>LeadTime</t>
  </si>
  <si>
    <t>DaysLate</t>
  </si>
  <si>
    <t>OnTime?</t>
  </si>
  <si>
    <t>DeliveryStatus</t>
  </si>
  <si>
    <t>Month</t>
  </si>
  <si>
    <t>P101</t>
  </si>
  <si>
    <t>S01</t>
  </si>
  <si>
    <t>North</t>
  </si>
  <si>
    <t>P102</t>
  </si>
  <si>
    <t>S02</t>
  </si>
  <si>
    <t>South</t>
  </si>
  <si>
    <t>P103</t>
  </si>
  <si>
    <t>East</t>
  </si>
  <si>
    <t>S03</t>
  </si>
  <si>
    <t>P104</t>
  </si>
  <si>
    <t>West</t>
  </si>
  <si>
    <t>P105</t>
  </si>
  <si>
    <t>ProductName</t>
  </si>
  <si>
    <t>Category</t>
  </si>
  <si>
    <t>SellPrice</t>
  </si>
  <si>
    <t>SafetyStock</t>
  </si>
  <si>
    <t>ReorderPoint</t>
  </si>
  <si>
    <t>Widget A</t>
  </si>
  <si>
    <t>Electronics</t>
  </si>
  <si>
    <t>Gadget B</t>
  </si>
  <si>
    <t>Accessories</t>
  </si>
  <si>
    <t>Component C</t>
  </si>
  <si>
    <t>Device D</t>
  </si>
  <si>
    <t>Hardware</t>
  </si>
  <si>
    <t>Part E</t>
  </si>
  <si>
    <t>SupplierName</t>
  </si>
  <si>
    <t>Location</t>
  </si>
  <si>
    <t>ContractCost</t>
  </si>
  <si>
    <t>PaymentTerms</t>
  </si>
  <si>
    <t>Alpha Parts Co</t>
  </si>
  <si>
    <t>China</t>
  </si>
  <si>
    <t>Net 30</t>
  </si>
  <si>
    <t>Beta Supply Ltd</t>
  </si>
  <si>
    <t>Vietnam</t>
  </si>
  <si>
    <t>Net 45</t>
  </si>
  <si>
    <t>Gamma Materials</t>
  </si>
  <si>
    <t>Mexico</t>
  </si>
  <si>
    <t>CurrentStock</t>
  </si>
  <si>
    <t>LastUpdated</t>
  </si>
  <si>
    <t>UnitsSold</t>
  </si>
  <si>
    <t>Revenue</t>
  </si>
  <si>
    <t>Supplier</t>
  </si>
  <si>
    <t>TotalOrders</t>
  </si>
  <si>
    <t>OnTimeOrders</t>
  </si>
  <si>
    <t>OnTime%</t>
  </si>
  <si>
    <t>AvgLeadTime</t>
  </si>
  <si>
    <t>TotalSpend</t>
  </si>
  <si>
    <t>COUNT of OrderID</t>
  </si>
  <si>
    <t>SUM of TotalCost</t>
  </si>
  <si>
    <t>AVERAGE of LeadTime</t>
  </si>
  <si>
    <t>AVERAGE of DaysLate</t>
  </si>
  <si>
    <t>Grand Total</t>
  </si>
  <si>
    <t>TotalQtyOrdered</t>
  </si>
  <si>
    <t>AvgOrderSize</t>
  </si>
  <si>
    <t>CurrentStockAll</t>
  </si>
  <si>
    <t>February</t>
  </si>
  <si>
    <t>January</t>
  </si>
  <si>
    <t>Early</t>
  </si>
  <si>
    <t>Late</t>
  </si>
  <si>
    <t>On-Time</t>
  </si>
  <si>
    <t xml:space="preserve"> </t>
  </si>
  <si>
    <t>AnnualUsageValue</t>
  </si>
  <si>
    <t>CumulativeValue</t>
  </si>
  <si>
    <t>Cumulative%</t>
  </si>
  <si>
    <t>TotalStock</t>
  </si>
  <si>
    <t>AvgMonthlySales</t>
  </si>
  <si>
    <t>DaysOfSupply</t>
  </si>
  <si>
    <t>Status</t>
  </si>
  <si>
    <t/>
  </si>
  <si>
    <t>Count of OrderID</t>
  </si>
  <si>
    <t>SUPPLY CHAIN &amp; INVENTORY MANAGEMENT DASHBOARD</t>
  </si>
  <si>
    <t>Total Orders</t>
  </si>
  <si>
    <t>On time delivery %</t>
  </si>
  <si>
    <t>Total Inventory</t>
  </si>
  <si>
    <t>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</si>
</sst>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yyyy\-mm\-dd"/>
    <numFmt numFmtId="165" formatCode="yyyy\-m"/>
    <numFmt numFmtId="166" formatCode="yyyy\-mm"/>
    <numFmt numFmtId="172" formatCode="&quot;₹&quot;\ #,##0.00"/>
    <numFmt numFmtId="174" formatCode="#,##0\ &quot;Units&quot;"/>
  </numFmts>
  <fonts count="9">
    <font>
      <sz val="10"/>
      <color rgb="FF000000"/>
      <name val="Arial"/>
      <scheme val="minor"/>
    </font>
    <font>
      <b/>
      <sz val="10"/>
      <color rgb="FF24292E"/>
      <name val="Spectral"/>
    </font>
    <font>
      <b/>
      <sz val="10"/>
      <color theme="1"/>
      <name val="Spectral"/>
    </font>
    <font>
      <sz val="10"/>
      <color rgb="FF24292E"/>
      <name val="Spectral"/>
    </font>
    <font>
      <sz val="10"/>
      <color theme="1"/>
      <name val="Spectral"/>
    </font>
    <font>
      <sz val="10"/>
      <color rgb="FF000000"/>
      <name val="Arial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4" fillId="0" borderId="1" xfId="0" applyFont="1" applyBorder="1"/>
    <xf numFmtId="0" fontId="4" fillId="0" borderId="0" xfId="0" applyFont="1"/>
    <xf numFmtId="0" fontId="3" fillId="2" borderId="0" xfId="0" applyFont="1" applyFill="1"/>
    <xf numFmtId="164" fontId="3" fillId="2" borderId="0" xfId="0" applyNumberFormat="1" applyFont="1" applyFill="1"/>
    <xf numFmtId="165" fontId="3" fillId="2" borderId="1" xfId="0" applyNumberFormat="1" applyFont="1" applyFill="1" applyBorder="1"/>
    <xf numFmtId="166" fontId="3" fillId="2" borderId="1" xfId="0" applyNumberFormat="1" applyFont="1" applyFill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4" fillId="0" borderId="1" xfId="0" applyNumberFormat="1" applyFont="1" applyBorder="1"/>
    <xf numFmtId="10" fontId="4" fillId="0" borderId="0" xfId="0" applyNumberFormat="1" applyFont="1"/>
    <xf numFmtId="9" fontId="4" fillId="0" borderId="1" xfId="1" applyFont="1" applyBorder="1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8" xfId="0" applyNumberFormat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9" fontId="8" fillId="0" borderId="0" xfId="1" applyFont="1"/>
    <xf numFmtId="172" fontId="8" fillId="0" borderId="0" xfId="0" applyNumberFormat="1" applyFont="1"/>
    <xf numFmtId="174" fontId="8" fillId="0" borderId="0" xfId="0" applyNumberFormat="1" applyFont="1"/>
  </cellXfs>
  <cellStyles count="2">
    <cellStyle name="Normal" xfId="0" builtinId="0"/>
    <cellStyle name="Percent" xfId="1" builtinId="5"/>
  </cellStyles>
  <dxfs count="24"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</dxfs>
  <tableStyles count="8">
    <tableStyle name="Orders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Products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Suppliers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Sales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ABC_Analysis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Inventory_Health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Supplier On Time Delivery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Metrics!$D$1</c:f>
              <c:strCache>
                <c:ptCount val="1"/>
                <c:pt idx="0">
                  <c:v>OnTime%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Metrics!$A$2:$A$4</c:f>
              <c:strCache>
                <c:ptCount val="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</c:strCache>
            </c:strRef>
          </c:cat>
          <c:val>
            <c:numRef>
              <c:f>Metrics!$D$2:$D$4</c:f>
              <c:numCache>
                <c:formatCode>0.00%</c:formatCode>
                <c:ptCount val="3"/>
                <c:pt idx="0">
                  <c:v>0.875</c:v>
                </c:pt>
                <c:pt idx="1">
                  <c:v>0.33333333333333331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1-4C3C-ABB3-5C4BFD54C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303296"/>
        <c:axId val="472059632"/>
      </c:barChart>
      <c:catAx>
        <c:axId val="61130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059632"/>
        <c:crosses val="autoZero"/>
        <c:auto val="1"/>
        <c:lblAlgn val="ctr"/>
        <c:lblOffset val="100"/>
        <c:noMultiLvlLbl val="0"/>
      </c:catAx>
      <c:valAx>
        <c:axId val="4720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30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</xdr:row>
      <xdr:rowOff>0</xdr:rowOff>
    </xdr:from>
    <xdr:to>
      <xdr:col>7</xdr:col>
      <xdr:colOff>17125</xdr:colOff>
      <xdr:row>21</xdr:row>
      <xdr:rowOff>156575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3F1F7-4FD7-40D6-B349-8456B3C16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YASH" refreshedDate="46323.836804629631" refreshedVersion="8" recordCount="20" xr:uid="{00000000-000A-0000-FFFF-FFFF00000000}">
  <cacheSource type="worksheet">
    <worksheetSource ref="A1:N21" sheet="Orders"/>
  </cacheSource>
  <cacheFields count="14">
    <cacheField name="OrderID" numFmtId="0">
      <sharedItems containsSemiMixedTypes="0" containsString="0" containsNumber="1" containsInteger="1" minValue="1001" maxValue="1020"/>
    </cacheField>
    <cacheField name="OrderDate" numFmtId="164">
      <sharedItems containsSemiMixedTypes="0" containsNonDate="0" containsDate="1" containsString="0" minDate="2024-01-05T00:00:00" maxDate="2024-02-16T00:00:00"/>
    </cacheField>
    <cacheField name="ProductID" numFmtId="0">
      <sharedItems count="5">
        <s v="P101"/>
        <s v="P102"/>
        <s v="P103"/>
        <s v="P104"/>
        <s v="P105"/>
      </sharedItems>
    </cacheField>
    <cacheField name="Quantity" numFmtId="0">
      <sharedItems containsSemiMixedTypes="0" containsString="0" containsNumber="1" containsInteger="1" minValue="100" maxValue="800"/>
    </cacheField>
    <cacheField name="UnitCost" numFmtId="0">
      <sharedItems containsSemiMixedTypes="0" containsString="0" containsNumber="1" minValue="8.75" maxValue="45"/>
    </cacheField>
    <cacheField name="SupplierID" numFmtId="0">
      <sharedItems count="3">
        <s v="S01"/>
        <s v="S02"/>
        <s v="S03"/>
      </sharedItems>
    </cacheField>
    <cacheField name="PromisedDate" numFmtId="164">
      <sharedItems containsSemiMixedTypes="0" containsNonDate="0" containsDate="1" containsString="0" minDate="2024-01-10T00:00:00" maxDate="2024-02-22T00:00:00"/>
    </cacheField>
    <cacheField name="DeliveredDate" numFmtId="164">
      <sharedItems containsSemiMixedTypes="0" containsNonDate="0" containsDate="1" containsString="0" minDate="2024-01-10T00:00:00" maxDate="2024-02-24T00:00:00"/>
    </cacheField>
    <cacheField name="Warehouse" numFmtId="0">
      <sharedItems count="4">
        <s v="North"/>
        <s v="South"/>
        <s v="East"/>
        <s v="West"/>
      </sharedItems>
    </cacheField>
    <cacheField name="TotalCost" numFmtId="0">
      <sharedItems containsSemiMixedTypes="0" containsString="0" containsNumber="1" minValue="2500" maxValue="16500"/>
    </cacheField>
    <cacheField name="LeadTime" numFmtId="0">
      <sharedItems containsSemiMixedTypes="0" containsString="0" containsNumber="1" containsInteger="1" minValue="5" maxValue="10"/>
    </cacheField>
    <cacheField name="DaysLate" numFmtId="0">
      <sharedItems containsSemiMixedTypes="0" containsString="0" containsNumber="1" containsInteger="1" minValue="-1" maxValue="3"/>
    </cacheField>
    <cacheField name="OnTime?" numFmtId="0">
      <sharedItems/>
    </cacheField>
    <cacheField name="DeliveryStatus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YASH" refreshedDate="46323.836804861108" refreshedVersion="8" recordCount="20" xr:uid="{00000000-000A-0000-FFFF-FFFF01000000}">
  <cacheSource type="worksheet">
    <worksheetSource ref="A1:O21" sheet="Orders"/>
  </cacheSource>
  <cacheFields count="15">
    <cacheField name="OrderID" numFmtId="0">
      <sharedItems containsSemiMixedTypes="0" containsString="0" containsNumber="1" containsInteger="1" minValue="1001" maxValue="1020"/>
    </cacheField>
    <cacheField name="OrderDate" numFmtId="164">
      <sharedItems containsSemiMixedTypes="0" containsNonDate="0" containsDate="1" containsString="0" minDate="2024-01-05T00:00:00" maxDate="2024-02-16T00:00:00"/>
    </cacheField>
    <cacheField name="ProductID" numFmtId="0">
      <sharedItems/>
    </cacheField>
    <cacheField name="Quantity" numFmtId="0">
      <sharedItems containsSemiMixedTypes="0" containsString="0" containsNumber="1" containsInteger="1" minValue="100" maxValue="800"/>
    </cacheField>
    <cacheField name="UnitCost" numFmtId="0">
      <sharedItems containsSemiMixedTypes="0" containsString="0" containsNumber="1" minValue="8.75" maxValue="45"/>
    </cacheField>
    <cacheField name="SupplierID" numFmtId="0">
      <sharedItems count="3">
        <s v="S01"/>
        <s v="S02"/>
        <s v="S03"/>
      </sharedItems>
    </cacheField>
    <cacheField name="PromisedDate" numFmtId="164">
      <sharedItems containsSemiMixedTypes="0" containsNonDate="0" containsDate="1" containsString="0" minDate="2024-01-10T00:00:00" maxDate="2024-02-22T00:00:00"/>
    </cacheField>
    <cacheField name="DeliveredDate" numFmtId="164">
      <sharedItems containsSemiMixedTypes="0" containsNonDate="0" containsDate="1" containsString="0" minDate="2024-01-10T00:00:00" maxDate="2024-02-24T00:00:00"/>
    </cacheField>
    <cacheField name="Warehouse" numFmtId="0">
      <sharedItems/>
    </cacheField>
    <cacheField name="TotalCost" numFmtId="0">
      <sharedItems containsSemiMixedTypes="0" containsString="0" containsNumber="1" minValue="2500" maxValue="16500"/>
    </cacheField>
    <cacheField name="LeadTime" numFmtId="0">
      <sharedItems containsSemiMixedTypes="0" containsString="0" containsNumber="1" containsInteger="1" minValue="5" maxValue="10"/>
    </cacheField>
    <cacheField name="DaysLate" numFmtId="0">
      <sharedItems containsSemiMixedTypes="0" containsString="0" containsNumber="1" containsInteger="1" minValue="-1" maxValue="3"/>
    </cacheField>
    <cacheField name="OnTime?" numFmtId="0">
      <sharedItems/>
    </cacheField>
    <cacheField name="DeliveryStatus" numFmtId="0">
      <sharedItems count="3">
        <s v="On-Time"/>
        <s v="Late"/>
        <s v="Early"/>
      </sharedItems>
    </cacheField>
    <cacheField name="Month" numFmtId="0">
      <sharedItems count="2">
        <s v="January"/>
        <s v="February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d v="2024-01-05T00:00:00"/>
    <x v="0"/>
    <n v="500"/>
    <n v="12.5"/>
    <x v="0"/>
    <d v="2024-01-10T00:00:00"/>
    <d v="2024-01-10T00:00:00"/>
    <x v="0"/>
    <n v="6250"/>
    <n v="5"/>
    <n v="0"/>
    <s v="Yes"/>
    <s v="On-Time"/>
  </r>
  <r>
    <n v="1002"/>
    <d v="2024-01-06T00:00:00"/>
    <x v="1"/>
    <n v="300"/>
    <n v="8.75"/>
    <x v="1"/>
    <d v="2024-01-12T00:00:00"/>
    <d v="2024-01-14T00:00:00"/>
    <x v="1"/>
    <n v="2625"/>
    <n v="8"/>
    <n v="2"/>
    <s v="No"/>
    <s v="Late"/>
  </r>
  <r>
    <n v="1003"/>
    <d v="2024-01-07T00:00:00"/>
    <x v="2"/>
    <n v="750"/>
    <n v="22"/>
    <x v="0"/>
    <d v="2024-01-14T00:00:00"/>
    <d v="2024-01-13T00:00:00"/>
    <x v="2"/>
    <n v="16500"/>
    <n v="6"/>
    <n v="-1"/>
    <s v="Yes"/>
    <s v="Early"/>
  </r>
  <r>
    <n v="1004"/>
    <d v="2024-01-08T00:00:00"/>
    <x v="0"/>
    <n v="200"/>
    <n v="12.5"/>
    <x v="2"/>
    <d v="2024-01-13T00:00:00"/>
    <d v="2024-01-15T00:00:00"/>
    <x v="0"/>
    <n v="2500"/>
    <n v="7"/>
    <n v="2"/>
    <s v="No"/>
    <s v="Late"/>
  </r>
  <r>
    <n v="1005"/>
    <d v="2024-01-10T00:00:00"/>
    <x v="3"/>
    <n v="100"/>
    <n v="45"/>
    <x v="1"/>
    <d v="2024-01-15T00:00:00"/>
    <d v="2024-01-15T00:00:00"/>
    <x v="3"/>
    <n v="4500"/>
    <n v="5"/>
    <n v="0"/>
    <s v="Yes"/>
    <s v="On-Time"/>
  </r>
  <r>
    <n v="1006"/>
    <d v="2024-01-12T00:00:00"/>
    <x v="1"/>
    <n v="450"/>
    <n v="8.75"/>
    <x v="0"/>
    <d v="2024-01-18T00:00:00"/>
    <d v="2024-01-20T00:00:00"/>
    <x v="1"/>
    <n v="3937.5"/>
    <n v="8"/>
    <n v="2"/>
    <s v="No"/>
    <s v="Late"/>
  </r>
  <r>
    <n v="1007"/>
    <d v="2024-01-14T00:00:00"/>
    <x v="4"/>
    <n v="600"/>
    <n v="15.25"/>
    <x v="2"/>
    <d v="2024-01-20T00:00:00"/>
    <d v="2024-01-19T00:00:00"/>
    <x v="2"/>
    <n v="9150"/>
    <n v="5"/>
    <n v="-1"/>
    <s v="Yes"/>
    <s v="Early"/>
  </r>
  <r>
    <n v="1008"/>
    <d v="2024-01-15T00:00:00"/>
    <x v="2"/>
    <n v="400"/>
    <n v="22"/>
    <x v="1"/>
    <d v="2024-01-22T00:00:00"/>
    <d v="2024-01-25T00:00:00"/>
    <x v="0"/>
    <n v="8800"/>
    <n v="10"/>
    <n v="3"/>
    <s v="No"/>
    <s v="Late"/>
  </r>
  <r>
    <n v="1009"/>
    <d v="2024-01-18T00:00:00"/>
    <x v="0"/>
    <n v="350"/>
    <n v="12.5"/>
    <x v="0"/>
    <d v="2024-01-24T00:00:00"/>
    <d v="2024-01-24T00:00:00"/>
    <x v="3"/>
    <n v="4375"/>
    <n v="6"/>
    <n v="0"/>
    <s v="Yes"/>
    <s v="On-Time"/>
  </r>
  <r>
    <n v="1010"/>
    <d v="2024-01-20T00:00:00"/>
    <x v="3"/>
    <n v="250"/>
    <n v="45"/>
    <x v="2"/>
    <d v="2024-01-26T00:00:00"/>
    <d v="2024-01-28T00:00:00"/>
    <x v="1"/>
    <n v="11250"/>
    <n v="8"/>
    <n v="2"/>
    <s v="No"/>
    <s v="Late"/>
  </r>
  <r>
    <n v="1011"/>
    <d v="2024-01-22T00:00:00"/>
    <x v="4"/>
    <n v="800"/>
    <n v="15.25"/>
    <x v="0"/>
    <d v="2024-01-28T00:00:00"/>
    <d v="2024-01-27T00:00:00"/>
    <x v="0"/>
    <n v="12200"/>
    <n v="5"/>
    <n v="-1"/>
    <s v="Yes"/>
    <s v="Early"/>
  </r>
  <r>
    <n v="1012"/>
    <d v="2024-01-25T00:00:00"/>
    <x v="1"/>
    <n v="550"/>
    <n v="8.75"/>
    <x v="1"/>
    <d v="2024-01-31T00:00:00"/>
    <d v="2024-02-02T00:00:00"/>
    <x v="2"/>
    <n v="4812.5"/>
    <n v="8"/>
    <n v="2"/>
    <s v="No"/>
    <s v="Late"/>
  </r>
  <r>
    <n v="1013"/>
    <d v="2024-01-28T00:00:00"/>
    <x v="2"/>
    <n v="300"/>
    <n v="22"/>
    <x v="2"/>
    <d v="2024-02-03T00:00:00"/>
    <d v="2024-02-03T00:00:00"/>
    <x v="3"/>
    <n v="6600"/>
    <n v="6"/>
    <n v="0"/>
    <s v="Yes"/>
    <s v="On-Time"/>
  </r>
  <r>
    <n v="1014"/>
    <d v="2024-02-01T00:00:00"/>
    <x v="0"/>
    <n v="450"/>
    <n v="12.5"/>
    <x v="0"/>
    <d v="2024-02-07T00:00:00"/>
    <d v="2024-02-06T00:00:00"/>
    <x v="1"/>
    <n v="5625"/>
    <n v="5"/>
    <n v="-1"/>
    <s v="Yes"/>
    <s v="Early"/>
  </r>
  <r>
    <n v="1015"/>
    <d v="2024-02-03T00:00:00"/>
    <x v="3"/>
    <n v="150"/>
    <n v="45"/>
    <x v="1"/>
    <d v="2024-02-09T00:00:00"/>
    <d v="2024-02-11T00:00:00"/>
    <x v="0"/>
    <n v="6750"/>
    <n v="8"/>
    <n v="2"/>
    <s v="No"/>
    <s v="Late"/>
  </r>
  <r>
    <n v="1016"/>
    <d v="2024-02-05T00:00:00"/>
    <x v="4"/>
    <n v="700"/>
    <n v="15.25"/>
    <x v="0"/>
    <d v="2024-02-11T00:00:00"/>
    <d v="2024-02-11T00:00:00"/>
    <x v="2"/>
    <n v="10675"/>
    <n v="6"/>
    <n v="0"/>
    <s v="Yes"/>
    <s v="On-Time"/>
  </r>
  <r>
    <n v="1017"/>
    <d v="2024-02-08T00:00:00"/>
    <x v="1"/>
    <n v="400"/>
    <n v="8.75"/>
    <x v="2"/>
    <d v="2024-02-14T00:00:00"/>
    <d v="2024-02-16T00:00:00"/>
    <x v="3"/>
    <n v="3500"/>
    <n v="8"/>
    <n v="2"/>
    <s v="No"/>
    <s v="Late"/>
  </r>
  <r>
    <n v="1018"/>
    <d v="2024-02-10T00:00:00"/>
    <x v="2"/>
    <n v="500"/>
    <n v="22"/>
    <x v="1"/>
    <d v="2024-02-16T00:00:00"/>
    <d v="2024-02-15T00:00:00"/>
    <x v="1"/>
    <n v="11000"/>
    <n v="5"/>
    <n v="-1"/>
    <s v="Yes"/>
    <s v="Early"/>
  </r>
  <r>
    <n v="1019"/>
    <d v="2024-02-12T00:00:00"/>
    <x v="0"/>
    <n v="600"/>
    <n v="12.5"/>
    <x v="0"/>
    <d v="2024-02-18T00:00:00"/>
    <d v="2024-02-18T00:00:00"/>
    <x v="0"/>
    <n v="7500"/>
    <n v="6"/>
    <n v="0"/>
    <s v="Yes"/>
    <s v="On-Time"/>
  </r>
  <r>
    <n v="1020"/>
    <d v="2024-02-15T00:00:00"/>
    <x v="3"/>
    <n v="200"/>
    <n v="45"/>
    <x v="2"/>
    <d v="2024-02-21T00:00:00"/>
    <d v="2024-02-23T00:00:00"/>
    <x v="2"/>
    <n v="9000"/>
    <n v="8"/>
    <n v="2"/>
    <s v="No"/>
    <s v="La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d v="2024-01-05T00:00:00"/>
    <s v="P101"/>
    <n v="500"/>
    <n v="12.5"/>
    <x v="0"/>
    <d v="2024-01-10T00:00:00"/>
    <d v="2024-01-10T00:00:00"/>
    <s v="North"/>
    <n v="6250"/>
    <n v="5"/>
    <n v="0"/>
    <s v="Yes"/>
    <x v="0"/>
    <x v="0"/>
  </r>
  <r>
    <n v="1002"/>
    <d v="2024-01-06T00:00:00"/>
    <s v="P102"/>
    <n v="300"/>
    <n v="8.75"/>
    <x v="1"/>
    <d v="2024-01-12T00:00:00"/>
    <d v="2024-01-14T00:00:00"/>
    <s v="South"/>
    <n v="2625"/>
    <n v="8"/>
    <n v="2"/>
    <s v="No"/>
    <x v="1"/>
    <x v="0"/>
  </r>
  <r>
    <n v="1003"/>
    <d v="2024-01-07T00:00:00"/>
    <s v="P103"/>
    <n v="750"/>
    <n v="22"/>
    <x v="0"/>
    <d v="2024-01-14T00:00:00"/>
    <d v="2024-01-13T00:00:00"/>
    <s v="East"/>
    <n v="16500"/>
    <n v="6"/>
    <n v="-1"/>
    <s v="Yes"/>
    <x v="2"/>
    <x v="0"/>
  </r>
  <r>
    <n v="1004"/>
    <d v="2024-01-08T00:00:00"/>
    <s v="P101"/>
    <n v="200"/>
    <n v="12.5"/>
    <x v="2"/>
    <d v="2024-01-13T00:00:00"/>
    <d v="2024-01-15T00:00:00"/>
    <s v="North"/>
    <n v="2500"/>
    <n v="7"/>
    <n v="2"/>
    <s v="No"/>
    <x v="1"/>
    <x v="0"/>
  </r>
  <r>
    <n v="1005"/>
    <d v="2024-01-10T00:00:00"/>
    <s v="P104"/>
    <n v="100"/>
    <n v="45"/>
    <x v="1"/>
    <d v="2024-01-15T00:00:00"/>
    <d v="2024-01-15T00:00:00"/>
    <s v="West"/>
    <n v="4500"/>
    <n v="5"/>
    <n v="0"/>
    <s v="Yes"/>
    <x v="0"/>
    <x v="0"/>
  </r>
  <r>
    <n v="1006"/>
    <d v="2024-01-12T00:00:00"/>
    <s v="P102"/>
    <n v="450"/>
    <n v="8.75"/>
    <x v="0"/>
    <d v="2024-01-18T00:00:00"/>
    <d v="2024-01-20T00:00:00"/>
    <s v="South"/>
    <n v="3937.5"/>
    <n v="8"/>
    <n v="2"/>
    <s v="No"/>
    <x v="1"/>
    <x v="0"/>
  </r>
  <r>
    <n v="1007"/>
    <d v="2024-01-14T00:00:00"/>
    <s v="P105"/>
    <n v="600"/>
    <n v="15.25"/>
    <x v="2"/>
    <d v="2024-01-20T00:00:00"/>
    <d v="2024-01-19T00:00:00"/>
    <s v="East"/>
    <n v="9150"/>
    <n v="5"/>
    <n v="-1"/>
    <s v="Yes"/>
    <x v="2"/>
    <x v="0"/>
  </r>
  <r>
    <n v="1008"/>
    <d v="2024-01-15T00:00:00"/>
    <s v="P103"/>
    <n v="400"/>
    <n v="22"/>
    <x v="1"/>
    <d v="2024-01-22T00:00:00"/>
    <d v="2024-01-25T00:00:00"/>
    <s v="North"/>
    <n v="8800"/>
    <n v="10"/>
    <n v="3"/>
    <s v="No"/>
    <x v="1"/>
    <x v="0"/>
  </r>
  <r>
    <n v="1009"/>
    <d v="2024-01-18T00:00:00"/>
    <s v="P101"/>
    <n v="350"/>
    <n v="12.5"/>
    <x v="0"/>
    <d v="2024-01-24T00:00:00"/>
    <d v="2024-01-24T00:00:00"/>
    <s v="West"/>
    <n v="4375"/>
    <n v="6"/>
    <n v="0"/>
    <s v="Yes"/>
    <x v="0"/>
    <x v="0"/>
  </r>
  <r>
    <n v="1010"/>
    <d v="2024-01-20T00:00:00"/>
    <s v="P104"/>
    <n v="250"/>
    <n v="45"/>
    <x v="2"/>
    <d v="2024-01-26T00:00:00"/>
    <d v="2024-01-28T00:00:00"/>
    <s v="South"/>
    <n v="11250"/>
    <n v="8"/>
    <n v="2"/>
    <s v="No"/>
    <x v="1"/>
    <x v="0"/>
  </r>
  <r>
    <n v="1011"/>
    <d v="2024-01-22T00:00:00"/>
    <s v="P105"/>
    <n v="800"/>
    <n v="15.25"/>
    <x v="0"/>
    <d v="2024-01-28T00:00:00"/>
    <d v="2024-01-27T00:00:00"/>
    <s v="North"/>
    <n v="12200"/>
    <n v="5"/>
    <n v="-1"/>
    <s v="Yes"/>
    <x v="2"/>
    <x v="0"/>
  </r>
  <r>
    <n v="1012"/>
    <d v="2024-01-25T00:00:00"/>
    <s v="P102"/>
    <n v="550"/>
    <n v="8.75"/>
    <x v="1"/>
    <d v="2024-01-31T00:00:00"/>
    <d v="2024-02-02T00:00:00"/>
    <s v="East"/>
    <n v="4812.5"/>
    <n v="8"/>
    <n v="2"/>
    <s v="No"/>
    <x v="1"/>
    <x v="0"/>
  </r>
  <r>
    <n v="1013"/>
    <d v="2024-01-28T00:00:00"/>
    <s v="P103"/>
    <n v="300"/>
    <n v="22"/>
    <x v="2"/>
    <d v="2024-02-03T00:00:00"/>
    <d v="2024-02-03T00:00:00"/>
    <s v="West"/>
    <n v="6600"/>
    <n v="6"/>
    <n v="0"/>
    <s v="Yes"/>
    <x v="0"/>
    <x v="0"/>
  </r>
  <r>
    <n v="1014"/>
    <d v="2024-02-01T00:00:00"/>
    <s v="P101"/>
    <n v="450"/>
    <n v="12.5"/>
    <x v="0"/>
    <d v="2024-02-07T00:00:00"/>
    <d v="2024-02-06T00:00:00"/>
    <s v="South"/>
    <n v="5625"/>
    <n v="5"/>
    <n v="-1"/>
    <s v="Yes"/>
    <x v="2"/>
    <x v="1"/>
  </r>
  <r>
    <n v="1015"/>
    <d v="2024-02-03T00:00:00"/>
    <s v="P104"/>
    <n v="150"/>
    <n v="45"/>
    <x v="1"/>
    <d v="2024-02-09T00:00:00"/>
    <d v="2024-02-11T00:00:00"/>
    <s v="North"/>
    <n v="6750"/>
    <n v="8"/>
    <n v="2"/>
    <s v="No"/>
    <x v="1"/>
    <x v="1"/>
  </r>
  <r>
    <n v="1016"/>
    <d v="2024-02-05T00:00:00"/>
    <s v="P105"/>
    <n v="700"/>
    <n v="15.25"/>
    <x v="0"/>
    <d v="2024-02-11T00:00:00"/>
    <d v="2024-02-11T00:00:00"/>
    <s v="East"/>
    <n v="10675"/>
    <n v="6"/>
    <n v="0"/>
    <s v="Yes"/>
    <x v="0"/>
    <x v="1"/>
  </r>
  <r>
    <n v="1017"/>
    <d v="2024-02-08T00:00:00"/>
    <s v="P102"/>
    <n v="400"/>
    <n v="8.75"/>
    <x v="2"/>
    <d v="2024-02-14T00:00:00"/>
    <d v="2024-02-16T00:00:00"/>
    <s v="West"/>
    <n v="3500"/>
    <n v="8"/>
    <n v="2"/>
    <s v="No"/>
    <x v="1"/>
    <x v="1"/>
  </r>
  <r>
    <n v="1018"/>
    <d v="2024-02-10T00:00:00"/>
    <s v="P103"/>
    <n v="500"/>
    <n v="22"/>
    <x v="1"/>
    <d v="2024-02-16T00:00:00"/>
    <d v="2024-02-15T00:00:00"/>
    <s v="South"/>
    <n v="11000"/>
    <n v="5"/>
    <n v="-1"/>
    <s v="Yes"/>
    <x v="2"/>
    <x v="1"/>
  </r>
  <r>
    <n v="1019"/>
    <d v="2024-02-12T00:00:00"/>
    <s v="P101"/>
    <n v="600"/>
    <n v="12.5"/>
    <x v="0"/>
    <d v="2024-02-18T00:00:00"/>
    <d v="2024-02-18T00:00:00"/>
    <s v="North"/>
    <n v="7500"/>
    <n v="6"/>
    <n v="0"/>
    <s v="Yes"/>
    <x v="0"/>
    <x v="1"/>
  </r>
  <r>
    <n v="1020"/>
    <d v="2024-02-15T00:00:00"/>
    <s v="P104"/>
    <n v="200"/>
    <n v="45"/>
    <x v="2"/>
    <d v="2024-02-21T00:00:00"/>
    <d v="2024-02-23T00:00:00"/>
    <s v="East"/>
    <n v="9000"/>
    <n v="8"/>
    <n v="2"/>
    <s v="No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Metrics 2" cacheId="7" applyNumberFormats="0" applyBorderFormats="0" applyFontFormats="0" applyPatternFormats="0" applyAlignmentFormats="0" applyWidthHeightFormats="0" dataCaption="" updatedVersion="8" compact="0" compactData="0">
  <location ref="H7:M14" firstHeaderRow="1" firstDataRow="2" firstDataCol="1"/>
  <pivotFields count="14">
    <pivotField name="OrderID" compact="0" outline="0" multipleItemSelectionAllowed="1" showAll="0"/>
    <pivotField name="OrderDate" compact="0" numFmtId="164" outline="0" multipleItemSelectionAllowed="1" showAll="0"/>
    <pivotField name="ProductID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Quantity" dataField="1" compact="0" outline="0" multipleItemSelectionAllowed="1" showAll="0"/>
    <pivotField name="UnitCost" compact="0" outline="0" multipleItemSelectionAllowed="1" showAll="0"/>
    <pivotField name="SupplierID" compact="0" outline="0" multipleItemSelectionAllowed="1" showAll="0"/>
    <pivotField name="PromisedDate" compact="0" numFmtId="164" outline="0" multipleItemSelectionAllowed="1" showAll="0"/>
    <pivotField name="DeliveredDate" compact="0" numFmtId="164" outline="0" multipleItemSelectionAllowed="1" showAll="0"/>
    <pivotField name="Warehouse" axis="axisCol" compact="0" outline="0" multipleItemSelectionAllowed="1" showAll="0" sortType="ascending">
      <items count="5">
        <item x="2"/>
        <item x="0"/>
        <item x="1"/>
        <item x="3"/>
        <item t="default"/>
      </items>
    </pivotField>
    <pivotField name="TotalCost" compact="0" outline="0" multipleItemSelectionAllowed="1" showAll="0"/>
    <pivotField name="LeadTime" compact="0" outline="0" multipleItemSelectionAllowed="1" showAll="0"/>
    <pivotField name="DaysLate" compact="0" outline="0" multipleItemSelectionAllowed="1" showAll="0"/>
    <pivotField name="OnTime?" compact="0" outline="0" multipleItemSelectionAllowed="1" showAll="0"/>
    <pivotField name="DeliveryStatus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ProductID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Metrics 3" cacheId="13" applyNumberFormats="0" applyBorderFormats="0" applyFontFormats="0" applyPatternFormats="0" applyAlignmentFormats="0" applyWidthHeightFormats="0" dataCaption="" updatedVersion="8" compact="0" compactData="0">
  <location ref="H16:J20" firstHeaderRow="1" firstDataRow="2" firstDataCol="1"/>
  <pivotFields count="15">
    <pivotField name="OrderID" dataField="1" compact="0" outline="0" multipleItemSelectionAllowed="1" showAll="0"/>
    <pivotField name="OrderDate" compact="0" numFmtId="164" outline="0" multipleItemSelectionAllowed="1" showAll="0"/>
    <pivotField name="ProductID" compact="0" outline="0" multipleItemSelectionAllowed="1" showAll="0"/>
    <pivotField name="Quantity" compact="0" outline="0" multipleItemSelectionAllowed="1" showAll="0"/>
    <pivotField name="UnitCost" compact="0" outline="0" multipleItemSelectionAllowed="1" showAll="0"/>
    <pivotField name="SupplierID" compact="0" outline="0" multipleItemSelectionAllowed="1" showAll="0"/>
    <pivotField name="PromisedDate" compact="0" numFmtId="164" outline="0" multipleItemSelectionAllowed="1" showAll="0"/>
    <pivotField name="DeliveredDate" compact="0" numFmtId="164" outline="0" multipleItemSelectionAllowed="1" showAll="0"/>
    <pivotField name="Warehouse" compact="0" outline="0" multipleItemSelectionAllowed="1" showAll="0"/>
    <pivotField name="TotalCost" dataField="1" compact="0" outline="0" multipleItemSelectionAllowed="1" showAll="0"/>
    <pivotField name="LeadTime" compact="0" outline="0" multipleItemSelectionAllowed="1" showAll="0"/>
    <pivotField name="DaysLate" compact="0" outline="0" multipleItemSelectionAllowed="1" showAll="0"/>
    <pivotField name="OnTime?" compact="0" outline="0" multipleItemSelectionAllowed="1" showAll="0"/>
    <pivotField name="DeliveryStatus" compact="0" outline="0" multipleItemSelectionAllowed="1" showAll="0"/>
    <pivotField name="Month" axis="axisRow" compact="0" outline="0" multipleItemSelectionAllowed="1" showAll="0" sortType="ascending">
      <items count="3">
        <item x="0"/>
        <item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Cost" fld="9" baseField="0"/>
    <dataField name="Count of Order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Metrics 4" cacheId="13" applyNumberFormats="0" applyBorderFormats="0" applyFontFormats="0" applyPatternFormats="0" applyAlignmentFormats="0" applyWidthHeightFormats="0" dataCaption="" updatedVersion="8" compact="0" compactData="0">
  <location ref="H21:L26" firstHeaderRow="1" firstDataRow="2" firstDataCol="1"/>
  <pivotFields count="15">
    <pivotField name="OrderID" dataField="1" compact="0" outline="0" multipleItemSelectionAllowed="1" showAll="0"/>
    <pivotField name="OrderDate" compact="0" numFmtId="164" outline="0" multipleItemSelectionAllowed="1" showAll="0"/>
    <pivotField name="ProductID" compact="0" outline="0" multipleItemSelectionAllowed="1" showAll="0"/>
    <pivotField name="Quantity" compact="0" outline="0" multipleItemSelectionAllowed="1" showAll="0"/>
    <pivotField name="UnitCost" compact="0" outline="0" multipleItemSelectionAllowed="1" showAll="0"/>
    <pivotField name="SupplierID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PromisedDate" compact="0" numFmtId="164" outline="0" multipleItemSelectionAllowed="1" showAll="0"/>
    <pivotField name="DeliveredDate" compact="0" numFmtId="164" outline="0" multipleItemSelectionAllowed="1" showAll="0"/>
    <pivotField name="Warehouse" compact="0" outline="0" multipleItemSelectionAllowed="1" showAll="0"/>
    <pivotField name="TotalCost" compact="0" outline="0" multipleItemSelectionAllowed="1" showAll="0"/>
    <pivotField name="LeadTime" compact="0" outline="0" multipleItemSelectionAllowed="1" showAll="0"/>
    <pivotField name="DaysLate" compact="0" outline="0" multipleItemSelectionAllowed="1" showAll="0"/>
    <pivotField name="OnTime?" compact="0" outline="0" multipleItemSelectionAllowed="1" showAll="0"/>
    <pivotField name="DeliveryStatus" axis="axisCol" compact="0" outline="0" multipleItemSelectionAllowed="1" showAll="0" sortType="ascending">
      <items count="4">
        <item x="2"/>
        <item x="1"/>
        <item x="0"/>
        <item t="default"/>
      </items>
    </pivotField>
    <pivotField name="Month"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OrderID" fld="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Metrics" cacheId="7" applyNumberFormats="0" applyBorderFormats="0" applyFontFormats="0" applyPatternFormats="0" applyAlignmentFormats="0" applyWidthHeightFormats="0" dataCaption="" updatedVersion="8" compact="0" compactData="0">
  <location ref="H1:L6" firstHeaderRow="1" firstDataRow="2" firstDataCol="1"/>
  <pivotFields count="14">
    <pivotField name="OrderID" dataField="1" compact="0" outline="0" multipleItemSelectionAllowed="1" showAll="0"/>
    <pivotField name="OrderDate" compact="0" numFmtId="164" outline="0" multipleItemSelectionAllowed="1" showAll="0"/>
    <pivotField name="ProductID" compact="0" outline="0" multipleItemSelectionAllowed="1" showAll="0"/>
    <pivotField name="Quantity" compact="0" outline="0" multipleItemSelectionAllowed="1" showAll="0"/>
    <pivotField name="UnitCost" compact="0" outline="0" multipleItemSelectionAllowed="1" showAll="0"/>
    <pivotField name="SupplierID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PromisedDate" compact="0" numFmtId="164" outline="0" multipleItemSelectionAllowed="1" showAll="0"/>
    <pivotField name="DeliveredDate" compact="0" numFmtId="164" outline="0" multipleItemSelectionAllowed="1" showAll="0"/>
    <pivotField name="Warehouse" compact="0" outline="0" multipleItemSelectionAllowed="1" showAll="0"/>
    <pivotField name="TotalCost" dataField="1" compact="0" outline="0" multipleItemSelectionAllowed="1" showAll="0"/>
    <pivotField name="LeadTime" dataField="1" compact="0" outline="0" multipleItemSelectionAllowed="1" showAll="0"/>
    <pivotField name="DaysLate" dataField="1" compact="0" outline="0" multipleItemSelectionAllowed="1" showAll="0"/>
    <pivotField name="OnTime?" compact="0" outline="0" multipleItemSelectionAllowed="1" showAll="0"/>
    <pivotField name="DeliveryStatus"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ID" fld="0" subtotal="countNums" baseField="0"/>
    <dataField name="SUM of TotalCost" fld="9" baseField="0"/>
    <dataField name="AVERAGE of LeadTime" fld="10" subtotal="average" baseField="0"/>
    <dataField name="AVERAGE of DaysLate" fld="11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21">
  <tableColumns count="15">
    <tableColumn id="1" xr3:uid="{00000000-0010-0000-0000-000001000000}" name="OrderID"/>
    <tableColumn id="2" xr3:uid="{00000000-0010-0000-0000-000002000000}" name="OrderDate"/>
    <tableColumn id="3" xr3:uid="{00000000-0010-0000-0000-000003000000}" name="ProductID"/>
    <tableColumn id="4" xr3:uid="{00000000-0010-0000-0000-000004000000}" name="Quantity"/>
    <tableColumn id="5" xr3:uid="{00000000-0010-0000-0000-000005000000}" name="UnitCost"/>
    <tableColumn id="6" xr3:uid="{00000000-0010-0000-0000-000006000000}" name="SupplierID"/>
    <tableColumn id="7" xr3:uid="{00000000-0010-0000-0000-000007000000}" name="PromisedDate"/>
    <tableColumn id="8" xr3:uid="{00000000-0010-0000-0000-000008000000}" name="DeliveredDate"/>
    <tableColumn id="9" xr3:uid="{00000000-0010-0000-0000-000009000000}" name="Warehouse"/>
    <tableColumn id="10" xr3:uid="{00000000-0010-0000-0000-00000A000000}" name="TotalCost"/>
    <tableColumn id="11" xr3:uid="{00000000-0010-0000-0000-00000B000000}" name="LeadTime"/>
    <tableColumn id="12" xr3:uid="{00000000-0010-0000-0000-00000C000000}" name="DaysLate"/>
    <tableColumn id="13" xr3:uid="{00000000-0010-0000-0000-00000D000000}" name="OnTime?"/>
    <tableColumn id="14" xr3:uid="{00000000-0010-0000-0000-00000E000000}" name="DeliveryStatus"/>
    <tableColumn id="15" xr3:uid="{00000000-0010-0000-0000-00000F000000}" name="Month"/>
  </tableColumns>
  <tableStyleInfo name="Orde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F6">
  <tableColumns count="6">
    <tableColumn id="1" xr3:uid="{00000000-0010-0000-0100-000001000000}" name="ProductID"/>
    <tableColumn id="2" xr3:uid="{00000000-0010-0000-0100-000002000000}" name="ProductName"/>
    <tableColumn id="3" xr3:uid="{00000000-0010-0000-0100-000003000000}" name="Category"/>
    <tableColumn id="4" xr3:uid="{00000000-0010-0000-0100-000004000000}" name="SellPrice"/>
    <tableColumn id="5" xr3:uid="{00000000-0010-0000-0100-000005000000}" name="SafetyStock"/>
    <tableColumn id="6" xr3:uid="{00000000-0010-0000-0100-000006000000}" name="ReorderPoint"/>
  </tableColumns>
  <tableStyleInfo name="Product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E4">
  <tableColumns count="5">
    <tableColumn id="1" xr3:uid="{00000000-0010-0000-0200-000001000000}" name="SupplierID"/>
    <tableColumn id="2" xr3:uid="{00000000-0010-0000-0200-000002000000}" name="SupplierName"/>
    <tableColumn id="3" xr3:uid="{00000000-0010-0000-0200-000003000000}" name="Location"/>
    <tableColumn id="4" xr3:uid="{00000000-0010-0000-0200-000004000000}" name="ContractCost"/>
    <tableColumn id="5" xr3:uid="{00000000-0010-0000-0200-000005000000}" name="PaymentTerms"/>
  </tableColumns>
  <tableStyleInfo name="Supplier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D26">
  <tableColumns count="4">
    <tableColumn id="1" xr3:uid="{00000000-0010-0000-0300-000001000000}" name="Month"/>
    <tableColumn id="2" xr3:uid="{00000000-0010-0000-0300-000002000000}" name="ProductID"/>
    <tableColumn id="3" xr3:uid="{00000000-0010-0000-0300-000003000000}" name="UnitsSold"/>
    <tableColumn id="4" xr3:uid="{00000000-0010-0000-0300-000004000000}" name="Revenue"/>
  </tableColumns>
  <tableStyleInfo name="Sal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F4">
  <tableColumns count="6">
    <tableColumn id="1" xr3:uid="{00000000-0010-0000-0400-000001000000}" name="Supplier"/>
    <tableColumn id="2" xr3:uid="{00000000-0010-0000-0400-000002000000}" name="TotalOrders"/>
    <tableColumn id="3" xr3:uid="{00000000-0010-0000-0400-000003000000}" name="OnTimeOrders"/>
    <tableColumn id="4" xr3:uid="{00000000-0010-0000-0400-000004000000}" name="OnTime%"/>
    <tableColumn id="5" xr3:uid="{00000000-0010-0000-0400-000005000000}" name="AvgLeadTime"/>
    <tableColumn id="6" xr3:uid="{00000000-0010-0000-0400-000006000000}" name="TotalSpend"/>
  </tableColumns>
  <tableStyleInfo name="Metric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7:E12">
  <tableColumns count="5">
    <tableColumn id="1" xr3:uid="{00000000-0010-0000-0500-000001000000}" name="ProductID"/>
    <tableColumn id="2" xr3:uid="{00000000-0010-0000-0500-000002000000}" name="TotalQtyOrdered"/>
    <tableColumn id="3" xr3:uid="{00000000-0010-0000-0500-000003000000}" name="TotalCost"/>
    <tableColumn id="4" xr3:uid="{00000000-0010-0000-0500-000004000000}" name="AvgOrderSize"/>
    <tableColumn id="5" xr3:uid="{00000000-0010-0000-0500-000005000000}" name="CurrentStockAll"/>
  </tableColumns>
  <tableStyleInfo name="Metrics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E6">
  <sortState xmlns:xlrd2="http://schemas.microsoft.com/office/spreadsheetml/2017/richdata2" ref="A2:E6">
    <sortCondition descending="1" ref="B2:B6"/>
  </sortState>
  <tableColumns count="5">
    <tableColumn id="1" xr3:uid="{00000000-0010-0000-0600-000001000000}" name="ProductID"/>
    <tableColumn id="2" xr3:uid="{00000000-0010-0000-0600-000002000000}" name="AnnualUsageValue"/>
    <tableColumn id="3" xr3:uid="{00000000-0010-0000-0600-000003000000}" name="CumulativeValue"/>
    <tableColumn id="4" xr3:uid="{00000000-0010-0000-0600-000004000000}" name="Cumulative%"/>
    <tableColumn id="5" xr3:uid="{00000000-0010-0000-0600-000005000000}" name="Category"/>
  </tableColumns>
  <tableStyleInfo name="ABC_Analysi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F6">
  <tableColumns count="6">
    <tableColumn id="1" xr3:uid="{00000000-0010-0000-0700-000001000000}" name="ProductID"/>
    <tableColumn id="2" xr3:uid="{00000000-0010-0000-0700-000002000000}" name="TotalStock"/>
    <tableColumn id="3" xr3:uid="{00000000-0010-0000-0700-000003000000}" name="AvgMonthlySales"/>
    <tableColumn id="4" xr3:uid="{00000000-0010-0000-0700-000004000000}" name="DaysOfSupply"/>
    <tableColumn id="5" xr3:uid="{00000000-0010-0000-0700-000005000000}" name="SafetyStock"/>
    <tableColumn id="6" xr3:uid="{00000000-0010-0000-0700-000006000000}" name="Status"/>
  </tableColumns>
  <tableStyleInfo name="Inventory_Healt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workbookViewId="0"/>
  </sheetViews>
  <sheetFormatPr defaultColWidth="12.6640625" defaultRowHeight="15.75" customHeight="1"/>
  <cols>
    <col min="16" max="26" width="12.6640625" hidden="1"/>
  </cols>
  <sheetData>
    <row r="1" spans="1:26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2">
      <c r="A2" s="4">
        <v>1001</v>
      </c>
      <c r="B2" s="5">
        <v>45296</v>
      </c>
      <c r="C2" s="4" t="s">
        <v>15</v>
      </c>
      <c r="D2" s="4">
        <v>500</v>
      </c>
      <c r="E2" s="4">
        <v>12.5</v>
      </c>
      <c r="F2" s="4" t="s">
        <v>16</v>
      </c>
      <c r="G2" s="5">
        <v>45301</v>
      </c>
      <c r="H2" s="5">
        <v>45301</v>
      </c>
      <c r="I2" s="4" t="s">
        <v>17</v>
      </c>
      <c r="J2" s="6">
        <f t="shared" ref="J2:J21" si="0">D2*E2</f>
        <v>6250</v>
      </c>
      <c r="K2" s="6">
        <f t="shared" ref="K2:K21" si="1">H2-B2</f>
        <v>5</v>
      </c>
      <c r="L2" s="6">
        <f t="shared" ref="L2:L21" si="2">H2-G2</f>
        <v>0</v>
      </c>
      <c r="M2" s="6" t="str">
        <f t="shared" ref="M2:M21" si="3">IF(L2&lt;=0,"Yes","No")</f>
        <v>Yes</v>
      </c>
      <c r="N2" s="6" t="str">
        <f t="shared" ref="N2:N21" si="4">IF(L2&lt;0,"Early",IF(L2=0,"On-Time","Late"))</f>
        <v>On-Time</v>
      </c>
      <c r="O2" s="6" t="str">
        <f t="shared" ref="O2:O21" si="5">TEXT(B2,"mmmm")</f>
        <v>January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2">
      <c r="A3" s="4">
        <v>1002</v>
      </c>
      <c r="B3" s="5">
        <v>45297</v>
      </c>
      <c r="C3" s="4" t="s">
        <v>18</v>
      </c>
      <c r="D3" s="4">
        <v>300</v>
      </c>
      <c r="E3" s="4">
        <v>8.75</v>
      </c>
      <c r="F3" s="4" t="s">
        <v>19</v>
      </c>
      <c r="G3" s="5">
        <v>45303</v>
      </c>
      <c r="H3" s="5">
        <v>45305</v>
      </c>
      <c r="I3" s="4" t="s">
        <v>20</v>
      </c>
      <c r="J3" s="6">
        <f t="shared" si="0"/>
        <v>2625</v>
      </c>
      <c r="K3" s="6">
        <f t="shared" si="1"/>
        <v>8</v>
      </c>
      <c r="L3" s="6">
        <f t="shared" si="2"/>
        <v>2</v>
      </c>
      <c r="M3" s="6" t="str">
        <f t="shared" si="3"/>
        <v>No</v>
      </c>
      <c r="N3" s="6" t="str">
        <f t="shared" si="4"/>
        <v>Late</v>
      </c>
      <c r="O3" s="6" t="str">
        <f t="shared" si="5"/>
        <v>January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2">
      <c r="A4" s="4">
        <v>1003</v>
      </c>
      <c r="B4" s="5">
        <v>45298</v>
      </c>
      <c r="C4" s="4" t="s">
        <v>21</v>
      </c>
      <c r="D4" s="4">
        <v>750</v>
      </c>
      <c r="E4" s="4">
        <v>22</v>
      </c>
      <c r="F4" s="4" t="s">
        <v>16</v>
      </c>
      <c r="G4" s="5">
        <v>45305</v>
      </c>
      <c r="H4" s="5">
        <v>45304</v>
      </c>
      <c r="I4" s="4" t="s">
        <v>22</v>
      </c>
      <c r="J4" s="6">
        <f t="shared" si="0"/>
        <v>16500</v>
      </c>
      <c r="K4" s="6">
        <f t="shared" si="1"/>
        <v>6</v>
      </c>
      <c r="L4" s="6">
        <f t="shared" si="2"/>
        <v>-1</v>
      </c>
      <c r="M4" s="6" t="str">
        <f t="shared" si="3"/>
        <v>Yes</v>
      </c>
      <c r="N4" s="6" t="str">
        <f t="shared" si="4"/>
        <v>Early</v>
      </c>
      <c r="O4" s="6" t="str">
        <f t="shared" si="5"/>
        <v>January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2">
      <c r="A5" s="4">
        <v>1004</v>
      </c>
      <c r="B5" s="5">
        <v>45299</v>
      </c>
      <c r="C5" s="4" t="s">
        <v>15</v>
      </c>
      <c r="D5" s="4">
        <v>200</v>
      </c>
      <c r="E5" s="4">
        <v>12.5</v>
      </c>
      <c r="F5" s="4" t="s">
        <v>23</v>
      </c>
      <c r="G5" s="5">
        <v>45304</v>
      </c>
      <c r="H5" s="5">
        <v>45306</v>
      </c>
      <c r="I5" s="4" t="s">
        <v>17</v>
      </c>
      <c r="J5" s="6">
        <f t="shared" si="0"/>
        <v>2500</v>
      </c>
      <c r="K5" s="6">
        <f t="shared" si="1"/>
        <v>7</v>
      </c>
      <c r="L5" s="6">
        <f t="shared" si="2"/>
        <v>2</v>
      </c>
      <c r="M5" s="6" t="str">
        <f t="shared" si="3"/>
        <v>No</v>
      </c>
      <c r="N5" s="6" t="str">
        <f t="shared" si="4"/>
        <v>Late</v>
      </c>
      <c r="O5" s="6" t="str">
        <f t="shared" si="5"/>
        <v>January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2">
      <c r="A6" s="4">
        <v>1005</v>
      </c>
      <c r="B6" s="5">
        <v>45301</v>
      </c>
      <c r="C6" s="4" t="s">
        <v>24</v>
      </c>
      <c r="D6" s="4">
        <v>100</v>
      </c>
      <c r="E6" s="4">
        <v>45</v>
      </c>
      <c r="F6" s="4" t="s">
        <v>19</v>
      </c>
      <c r="G6" s="5">
        <v>45306</v>
      </c>
      <c r="H6" s="5">
        <v>45306</v>
      </c>
      <c r="I6" s="4" t="s">
        <v>25</v>
      </c>
      <c r="J6" s="6">
        <f t="shared" si="0"/>
        <v>4500</v>
      </c>
      <c r="K6" s="6">
        <f t="shared" si="1"/>
        <v>5</v>
      </c>
      <c r="L6" s="6">
        <f t="shared" si="2"/>
        <v>0</v>
      </c>
      <c r="M6" s="6" t="str">
        <f t="shared" si="3"/>
        <v>Yes</v>
      </c>
      <c r="N6" s="6" t="str">
        <f t="shared" si="4"/>
        <v>On-Time</v>
      </c>
      <c r="O6" s="6" t="str">
        <f t="shared" si="5"/>
        <v>January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2">
      <c r="A7" s="4">
        <v>1006</v>
      </c>
      <c r="B7" s="5">
        <v>45303</v>
      </c>
      <c r="C7" s="4" t="s">
        <v>18</v>
      </c>
      <c r="D7" s="4">
        <v>450</v>
      </c>
      <c r="E7" s="4">
        <v>8.75</v>
      </c>
      <c r="F7" s="4" t="s">
        <v>16</v>
      </c>
      <c r="G7" s="5">
        <v>45309</v>
      </c>
      <c r="H7" s="5">
        <v>45311</v>
      </c>
      <c r="I7" s="4" t="s">
        <v>20</v>
      </c>
      <c r="J7" s="6">
        <f t="shared" si="0"/>
        <v>3937.5</v>
      </c>
      <c r="K7" s="6">
        <f t="shared" si="1"/>
        <v>8</v>
      </c>
      <c r="L7" s="6">
        <f t="shared" si="2"/>
        <v>2</v>
      </c>
      <c r="M7" s="6" t="str">
        <f t="shared" si="3"/>
        <v>No</v>
      </c>
      <c r="N7" s="6" t="str">
        <f t="shared" si="4"/>
        <v>Late</v>
      </c>
      <c r="O7" s="6" t="str">
        <f t="shared" si="5"/>
        <v>January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2">
      <c r="A8" s="4">
        <v>1007</v>
      </c>
      <c r="B8" s="5">
        <v>45305</v>
      </c>
      <c r="C8" s="4" t="s">
        <v>26</v>
      </c>
      <c r="D8" s="4">
        <v>600</v>
      </c>
      <c r="E8" s="4">
        <v>15.25</v>
      </c>
      <c r="F8" s="4" t="s">
        <v>23</v>
      </c>
      <c r="G8" s="5">
        <v>45311</v>
      </c>
      <c r="H8" s="5">
        <v>45310</v>
      </c>
      <c r="I8" s="4" t="s">
        <v>22</v>
      </c>
      <c r="J8" s="6">
        <f t="shared" si="0"/>
        <v>9150</v>
      </c>
      <c r="K8" s="6">
        <f t="shared" si="1"/>
        <v>5</v>
      </c>
      <c r="L8" s="6">
        <f t="shared" si="2"/>
        <v>-1</v>
      </c>
      <c r="M8" s="6" t="str">
        <f t="shared" si="3"/>
        <v>Yes</v>
      </c>
      <c r="N8" s="6" t="str">
        <f t="shared" si="4"/>
        <v>Early</v>
      </c>
      <c r="O8" s="6" t="str">
        <f t="shared" si="5"/>
        <v>January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2">
      <c r="A9" s="4">
        <v>1008</v>
      </c>
      <c r="B9" s="5">
        <v>45306</v>
      </c>
      <c r="C9" s="4" t="s">
        <v>21</v>
      </c>
      <c r="D9" s="4">
        <v>400</v>
      </c>
      <c r="E9" s="4">
        <v>22</v>
      </c>
      <c r="F9" s="4" t="s">
        <v>19</v>
      </c>
      <c r="G9" s="5">
        <v>45313</v>
      </c>
      <c r="H9" s="5">
        <v>45316</v>
      </c>
      <c r="I9" s="4" t="s">
        <v>17</v>
      </c>
      <c r="J9" s="6">
        <f t="shared" si="0"/>
        <v>8800</v>
      </c>
      <c r="K9" s="6">
        <f t="shared" si="1"/>
        <v>10</v>
      </c>
      <c r="L9" s="6">
        <f t="shared" si="2"/>
        <v>3</v>
      </c>
      <c r="M9" s="6" t="str">
        <f t="shared" si="3"/>
        <v>No</v>
      </c>
      <c r="N9" s="6" t="str">
        <f t="shared" si="4"/>
        <v>Late</v>
      </c>
      <c r="O9" s="6" t="str">
        <f t="shared" si="5"/>
        <v>January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2">
      <c r="A10" s="4">
        <v>1009</v>
      </c>
      <c r="B10" s="5">
        <v>45309</v>
      </c>
      <c r="C10" s="4" t="s">
        <v>15</v>
      </c>
      <c r="D10" s="4">
        <v>350</v>
      </c>
      <c r="E10" s="4">
        <v>12.5</v>
      </c>
      <c r="F10" s="4" t="s">
        <v>16</v>
      </c>
      <c r="G10" s="5">
        <v>45315</v>
      </c>
      <c r="H10" s="5">
        <v>45315</v>
      </c>
      <c r="I10" s="4" t="s">
        <v>25</v>
      </c>
      <c r="J10" s="6">
        <f t="shared" si="0"/>
        <v>4375</v>
      </c>
      <c r="K10" s="6">
        <f t="shared" si="1"/>
        <v>6</v>
      </c>
      <c r="L10" s="6">
        <f t="shared" si="2"/>
        <v>0</v>
      </c>
      <c r="M10" s="6" t="str">
        <f t="shared" si="3"/>
        <v>Yes</v>
      </c>
      <c r="N10" s="6" t="str">
        <f t="shared" si="4"/>
        <v>On-Time</v>
      </c>
      <c r="O10" s="6" t="str">
        <f t="shared" si="5"/>
        <v>January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2">
      <c r="A11" s="4">
        <v>1010</v>
      </c>
      <c r="B11" s="5">
        <v>45311</v>
      </c>
      <c r="C11" s="4" t="s">
        <v>24</v>
      </c>
      <c r="D11" s="4">
        <v>250</v>
      </c>
      <c r="E11" s="4">
        <v>45</v>
      </c>
      <c r="F11" s="4" t="s">
        <v>23</v>
      </c>
      <c r="G11" s="5">
        <v>45317</v>
      </c>
      <c r="H11" s="5">
        <v>45319</v>
      </c>
      <c r="I11" s="4" t="s">
        <v>20</v>
      </c>
      <c r="J11" s="6">
        <f t="shared" si="0"/>
        <v>11250</v>
      </c>
      <c r="K11" s="6">
        <f t="shared" si="1"/>
        <v>8</v>
      </c>
      <c r="L11" s="6">
        <f t="shared" si="2"/>
        <v>2</v>
      </c>
      <c r="M11" s="6" t="str">
        <f t="shared" si="3"/>
        <v>No</v>
      </c>
      <c r="N11" s="6" t="str">
        <f t="shared" si="4"/>
        <v>Late</v>
      </c>
      <c r="O11" s="6" t="str">
        <f t="shared" si="5"/>
        <v>January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2">
      <c r="A12" s="4">
        <v>1011</v>
      </c>
      <c r="B12" s="5">
        <v>45313</v>
      </c>
      <c r="C12" s="4" t="s">
        <v>26</v>
      </c>
      <c r="D12" s="4">
        <v>800</v>
      </c>
      <c r="E12" s="4">
        <v>15.25</v>
      </c>
      <c r="F12" s="4" t="s">
        <v>16</v>
      </c>
      <c r="G12" s="5">
        <v>45319</v>
      </c>
      <c r="H12" s="5">
        <v>45318</v>
      </c>
      <c r="I12" s="4" t="s">
        <v>17</v>
      </c>
      <c r="J12" s="6">
        <f t="shared" si="0"/>
        <v>12200</v>
      </c>
      <c r="K12" s="6">
        <f t="shared" si="1"/>
        <v>5</v>
      </c>
      <c r="L12" s="6">
        <f t="shared" si="2"/>
        <v>-1</v>
      </c>
      <c r="M12" s="6" t="str">
        <f t="shared" si="3"/>
        <v>Yes</v>
      </c>
      <c r="N12" s="6" t="str">
        <f t="shared" si="4"/>
        <v>Early</v>
      </c>
      <c r="O12" s="6" t="str">
        <f t="shared" si="5"/>
        <v>January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2">
      <c r="A13" s="4">
        <v>1012</v>
      </c>
      <c r="B13" s="5">
        <v>45316</v>
      </c>
      <c r="C13" s="4" t="s">
        <v>18</v>
      </c>
      <c r="D13" s="4">
        <v>550</v>
      </c>
      <c r="E13" s="4">
        <v>8.75</v>
      </c>
      <c r="F13" s="4" t="s">
        <v>19</v>
      </c>
      <c r="G13" s="5">
        <v>45322</v>
      </c>
      <c r="H13" s="5">
        <v>45324</v>
      </c>
      <c r="I13" s="4" t="s">
        <v>22</v>
      </c>
      <c r="J13" s="6">
        <f t="shared" si="0"/>
        <v>4812.5</v>
      </c>
      <c r="K13" s="6">
        <f t="shared" si="1"/>
        <v>8</v>
      </c>
      <c r="L13" s="6">
        <f t="shared" si="2"/>
        <v>2</v>
      </c>
      <c r="M13" s="6" t="str">
        <f t="shared" si="3"/>
        <v>No</v>
      </c>
      <c r="N13" s="6" t="str">
        <f t="shared" si="4"/>
        <v>Late</v>
      </c>
      <c r="O13" s="6" t="str">
        <f t="shared" si="5"/>
        <v>January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2">
      <c r="A14" s="4">
        <v>1013</v>
      </c>
      <c r="B14" s="5">
        <v>45319</v>
      </c>
      <c r="C14" s="4" t="s">
        <v>21</v>
      </c>
      <c r="D14" s="4">
        <v>300</v>
      </c>
      <c r="E14" s="4">
        <v>22</v>
      </c>
      <c r="F14" s="4" t="s">
        <v>23</v>
      </c>
      <c r="G14" s="5">
        <v>45325</v>
      </c>
      <c r="H14" s="5">
        <v>45325</v>
      </c>
      <c r="I14" s="4" t="s">
        <v>25</v>
      </c>
      <c r="J14" s="6">
        <f t="shared" si="0"/>
        <v>6600</v>
      </c>
      <c r="K14" s="6">
        <f t="shared" si="1"/>
        <v>6</v>
      </c>
      <c r="L14" s="6">
        <f t="shared" si="2"/>
        <v>0</v>
      </c>
      <c r="M14" s="6" t="str">
        <f t="shared" si="3"/>
        <v>Yes</v>
      </c>
      <c r="N14" s="6" t="str">
        <f t="shared" si="4"/>
        <v>On-Time</v>
      </c>
      <c r="O14" s="6" t="str">
        <f t="shared" si="5"/>
        <v>January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2">
      <c r="A15" s="4">
        <v>1014</v>
      </c>
      <c r="B15" s="5">
        <v>45323</v>
      </c>
      <c r="C15" s="4" t="s">
        <v>15</v>
      </c>
      <c r="D15" s="4">
        <v>450</v>
      </c>
      <c r="E15" s="4">
        <v>12.5</v>
      </c>
      <c r="F15" s="4" t="s">
        <v>16</v>
      </c>
      <c r="G15" s="5">
        <v>45329</v>
      </c>
      <c r="H15" s="5">
        <v>45328</v>
      </c>
      <c r="I15" s="4" t="s">
        <v>20</v>
      </c>
      <c r="J15" s="6">
        <f t="shared" si="0"/>
        <v>5625</v>
      </c>
      <c r="K15" s="6">
        <f t="shared" si="1"/>
        <v>5</v>
      </c>
      <c r="L15" s="6">
        <f t="shared" si="2"/>
        <v>-1</v>
      </c>
      <c r="M15" s="6" t="str">
        <f t="shared" si="3"/>
        <v>Yes</v>
      </c>
      <c r="N15" s="6" t="str">
        <f t="shared" si="4"/>
        <v>Early</v>
      </c>
      <c r="O15" s="6" t="str">
        <f t="shared" si="5"/>
        <v>February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2">
      <c r="A16" s="4">
        <v>1015</v>
      </c>
      <c r="B16" s="5">
        <v>45325</v>
      </c>
      <c r="C16" s="4" t="s">
        <v>24</v>
      </c>
      <c r="D16" s="4">
        <v>150</v>
      </c>
      <c r="E16" s="4">
        <v>45</v>
      </c>
      <c r="F16" s="4" t="s">
        <v>19</v>
      </c>
      <c r="G16" s="5">
        <v>45331</v>
      </c>
      <c r="H16" s="5">
        <v>45333</v>
      </c>
      <c r="I16" s="4" t="s">
        <v>17</v>
      </c>
      <c r="J16" s="6">
        <f t="shared" si="0"/>
        <v>6750</v>
      </c>
      <c r="K16" s="6">
        <f t="shared" si="1"/>
        <v>8</v>
      </c>
      <c r="L16" s="6">
        <f t="shared" si="2"/>
        <v>2</v>
      </c>
      <c r="M16" s="6" t="str">
        <f t="shared" si="3"/>
        <v>No</v>
      </c>
      <c r="N16" s="6" t="str">
        <f t="shared" si="4"/>
        <v>Late</v>
      </c>
      <c r="O16" s="6" t="str">
        <f t="shared" si="5"/>
        <v>February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2">
      <c r="A17" s="4">
        <v>1016</v>
      </c>
      <c r="B17" s="5">
        <v>45327</v>
      </c>
      <c r="C17" s="4" t="s">
        <v>26</v>
      </c>
      <c r="D17" s="4">
        <v>700</v>
      </c>
      <c r="E17" s="4">
        <v>15.25</v>
      </c>
      <c r="F17" s="4" t="s">
        <v>16</v>
      </c>
      <c r="G17" s="5">
        <v>45333</v>
      </c>
      <c r="H17" s="5">
        <v>45333</v>
      </c>
      <c r="I17" s="4" t="s">
        <v>22</v>
      </c>
      <c r="J17" s="6">
        <f t="shared" si="0"/>
        <v>10675</v>
      </c>
      <c r="K17" s="6">
        <f t="shared" si="1"/>
        <v>6</v>
      </c>
      <c r="L17" s="6">
        <f t="shared" si="2"/>
        <v>0</v>
      </c>
      <c r="M17" s="6" t="str">
        <f t="shared" si="3"/>
        <v>Yes</v>
      </c>
      <c r="N17" s="6" t="str">
        <f t="shared" si="4"/>
        <v>On-Time</v>
      </c>
      <c r="O17" s="6" t="str">
        <f t="shared" si="5"/>
        <v>February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2">
      <c r="A18" s="4">
        <v>1017</v>
      </c>
      <c r="B18" s="5">
        <v>45330</v>
      </c>
      <c r="C18" s="4" t="s">
        <v>18</v>
      </c>
      <c r="D18" s="4">
        <v>400</v>
      </c>
      <c r="E18" s="4">
        <v>8.75</v>
      </c>
      <c r="F18" s="4" t="s">
        <v>23</v>
      </c>
      <c r="G18" s="5">
        <v>45336</v>
      </c>
      <c r="H18" s="5">
        <v>45338</v>
      </c>
      <c r="I18" s="4" t="s">
        <v>25</v>
      </c>
      <c r="J18" s="6">
        <f t="shared" si="0"/>
        <v>3500</v>
      </c>
      <c r="K18" s="6">
        <f t="shared" si="1"/>
        <v>8</v>
      </c>
      <c r="L18" s="6">
        <f t="shared" si="2"/>
        <v>2</v>
      </c>
      <c r="M18" s="6" t="str">
        <f t="shared" si="3"/>
        <v>No</v>
      </c>
      <c r="N18" s="6" t="str">
        <f t="shared" si="4"/>
        <v>Late</v>
      </c>
      <c r="O18" s="6" t="str">
        <f t="shared" si="5"/>
        <v>February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2">
      <c r="A19" s="4">
        <v>1018</v>
      </c>
      <c r="B19" s="5">
        <v>45332</v>
      </c>
      <c r="C19" s="4" t="s">
        <v>21</v>
      </c>
      <c r="D19" s="4">
        <v>500</v>
      </c>
      <c r="E19" s="4">
        <v>22</v>
      </c>
      <c r="F19" s="4" t="s">
        <v>19</v>
      </c>
      <c r="G19" s="5">
        <v>45338</v>
      </c>
      <c r="H19" s="5">
        <v>45337</v>
      </c>
      <c r="I19" s="4" t="s">
        <v>20</v>
      </c>
      <c r="J19" s="6">
        <f t="shared" si="0"/>
        <v>11000</v>
      </c>
      <c r="K19" s="6">
        <f t="shared" si="1"/>
        <v>5</v>
      </c>
      <c r="L19" s="6">
        <f t="shared" si="2"/>
        <v>-1</v>
      </c>
      <c r="M19" s="6" t="str">
        <f t="shared" si="3"/>
        <v>Yes</v>
      </c>
      <c r="N19" s="6" t="str">
        <f t="shared" si="4"/>
        <v>Early</v>
      </c>
      <c r="O19" s="6" t="str">
        <f t="shared" si="5"/>
        <v>February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2">
      <c r="A20" s="4">
        <v>1019</v>
      </c>
      <c r="B20" s="5">
        <v>45334</v>
      </c>
      <c r="C20" s="4" t="s">
        <v>15</v>
      </c>
      <c r="D20" s="4">
        <v>600</v>
      </c>
      <c r="E20" s="4">
        <v>12.5</v>
      </c>
      <c r="F20" s="4" t="s">
        <v>16</v>
      </c>
      <c r="G20" s="5">
        <v>45340</v>
      </c>
      <c r="H20" s="5">
        <v>45340</v>
      </c>
      <c r="I20" s="4" t="s">
        <v>17</v>
      </c>
      <c r="J20" s="6">
        <f t="shared" si="0"/>
        <v>7500</v>
      </c>
      <c r="K20" s="6">
        <f t="shared" si="1"/>
        <v>6</v>
      </c>
      <c r="L20" s="6">
        <f t="shared" si="2"/>
        <v>0</v>
      </c>
      <c r="M20" s="6" t="str">
        <f t="shared" si="3"/>
        <v>Yes</v>
      </c>
      <c r="N20" s="6" t="str">
        <f t="shared" si="4"/>
        <v>On-Time</v>
      </c>
      <c r="O20" s="6" t="str">
        <f t="shared" si="5"/>
        <v>February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>
      <c r="A21" s="4">
        <v>1020</v>
      </c>
      <c r="B21" s="5">
        <v>45337</v>
      </c>
      <c r="C21" s="4" t="s">
        <v>24</v>
      </c>
      <c r="D21" s="4">
        <v>200</v>
      </c>
      <c r="E21" s="4">
        <v>45</v>
      </c>
      <c r="F21" s="4" t="s">
        <v>23</v>
      </c>
      <c r="G21" s="5">
        <v>45343</v>
      </c>
      <c r="H21" s="5">
        <v>45345</v>
      </c>
      <c r="I21" s="4" t="s">
        <v>22</v>
      </c>
      <c r="J21" s="6">
        <f t="shared" si="0"/>
        <v>9000</v>
      </c>
      <c r="K21" s="6">
        <f t="shared" si="1"/>
        <v>8</v>
      </c>
      <c r="L21" s="6">
        <f t="shared" si="2"/>
        <v>2</v>
      </c>
      <c r="M21" s="6" t="str">
        <f t="shared" si="3"/>
        <v>No</v>
      </c>
      <c r="N21" s="6" t="str">
        <f t="shared" si="4"/>
        <v>Late</v>
      </c>
      <c r="O21" s="6" t="str">
        <f t="shared" si="5"/>
        <v>February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2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2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2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2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2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7" max="26" width="12.6640625" hidden="1"/>
  </cols>
  <sheetData>
    <row r="1" spans="1:26" ht="13.2">
      <c r="A1" s="1" t="s">
        <v>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2">
      <c r="A2" s="1" t="s">
        <v>15</v>
      </c>
      <c r="B2" s="4" t="s">
        <v>32</v>
      </c>
      <c r="C2" s="4" t="s">
        <v>33</v>
      </c>
      <c r="D2" s="4">
        <v>25</v>
      </c>
      <c r="E2" s="4">
        <v>200</v>
      </c>
      <c r="F2" s="4">
        <v>400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2">
      <c r="A3" s="1" t="s">
        <v>18</v>
      </c>
      <c r="B3" s="4" t="s">
        <v>34</v>
      </c>
      <c r="C3" s="4" t="s">
        <v>35</v>
      </c>
      <c r="D3" s="4">
        <v>15</v>
      </c>
      <c r="E3" s="4">
        <v>150</v>
      </c>
      <c r="F3" s="4">
        <v>300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2">
      <c r="A4" s="1" t="s">
        <v>21</v>
      </c>
      <c r="B4" s="4" t="s">
        <v>36</v>
      </c>
      <c r="C4" s="4" t="s">
        <v>33</v>
      </c>
      <c r="D4" s="4">
        <v>45</v>
      </c>
      <c r="E4" s="4">
        <v>100</v>
      </c>
      <c r="F4" s="4">
        <v>250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2">
      <c r="A5" s="1" t="s">
        <v>24</v>
      </c>
      <c r="B5" s="4" t="s">
        <v>37</v>
      </c>
      <c r="C5" s="4" t="s">
        <v>38</v>
      </c>
      <c r="D5" s="4">
        <v>85</v>
      </c>
      <c r="E5" s="4">
        <v>50</v>
      </c>
      <c r="F5" s="4">
        <v>100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2">
      <c r="A6" s="1" t="s">
        <v>26</v>
      </c>
      <c r="B6" s="4" t="s">
        <v>39</v>
      </c>
      <c r="C6" s="4" t="s">
        <v>35</v>
      </c>
      <c r="D6" s="4">
        <v>30</v>
      </c>
      <c r="E6" s="4">
        <v>175</v>
      </c>
      <c r="F6" s="4">
        <v>350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2" hidden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2" hidden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2" hidden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2" hidden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2" hidden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2" hidden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2" hidden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2" hidden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2" hidden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2" hidden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2" hidden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2" hidden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2" hidden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2" hidden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 hidden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2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2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2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2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2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10" customWidth="1"/>
    <col min="2" max="2" width="15.77734375" customWidth="1"/>
    <col min="3" max="3" width="10" customWidth="1"/>
    <col min="4" max="4" width="11.88671875" customWidth="1"/>
    <col min="5" max="5" width="13.33203125" customWidth="1"/>
    <col min="6" max="26" width="10" hidden="1" customWidth="1"/>
  </cols>
  <sheetData>
    <row r="1" spans="1:26" ht="13.2">
      <c r="A1" s="1" t="s">
        <v>5</v>
      </c>
      <c r="B1" s="1" t="s">
        <v>40</v>
      </c>
      <c r="C1" s="1" t="s">
        <v>41</v>
      </c>
      <c r="D1" s="1" t="s">
        <v>42</v>
      </c>
      <c r="E1" s="1" t="s">
        <v>43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2">
      <c r="A2" s="1" t="s">
        <v>16</v>
      </c>
      <c r="B2" s="4" t="s">
        <v>44</v>
      </c>
      <c r="C2" s="4" t="s">
        <v>45</v>
      </c>
      <c r="D2" s="4">
        <v>50000</v>
      </c>
      <c r="E2" s="4" t="s">
        <v>46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2">
      <c r="A3" s="1" t="s">
        <v>19</v>
      </c>
      <c r="B3" s="4" t="s">
        <v>47</v>
      </c>
      <c r="C3" s="4" t="s">
        <v>48</v>
      </c>
      <c r="D3" s="4">
        <v>35000</v>
      </c>
      <c r="E3" s="4" t="s">
        <v>49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2">
      <c r="A4" s="1" t="s">
        <v>23</v>
      </c>
      <c r="B4" s="4" t="s">
        <v>50</v>
      </c>
      <c r="C4" s="4" t="s">
        <v>51</v>
      </c>
      <c r="D4" s="4">
        <v>42000</v>
      </c>
      <c r="E4" s="4" t="s">
        <v>46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2" hidden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2" hidden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2" hidden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2" hidden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2" hidden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2" hidden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2" hidden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2" hidden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2" hidden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2" hidden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2" hidden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2" hidden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2" hidden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2" hidden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2" hidden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2" hidden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 hidden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2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2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2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2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2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workbookViewId="0">
      <selection activeCell="C1008" sqref="C1008"/>
    </sheetView>
  </sheetViews>
  <sheetFormatPr defaultColWidth="12.6640625" defaultRowHeight="15.75" customHeight="1"/>
  <cols>
    <col min="5" max="26" width="12.6640625" hidden="1"/>
  </cols>
  <sheetData>
    <row r="1" spans="1:26" ht="13.2">
      <c r="A1" s="8" t="s">
        <v>2</v>
      </c>
      <c r="B1" s="8" t="s">
        <v>8</v>
      </c>
      <c r="C1" s="8" t="s">
        <v>52</v>
      </c>
      <c r="D1" s="8" t="s">
        <v>53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2">
      <c r="A2" s="8" t="s">
        <v>15</v>
      </c>
      <c r="B2" s="8" t="s">
        <v>17</v>
      </c>
      <c r="C2" s="8">
        <v>580</v>
      </c>
      <c r="D2" s="9">
        <v>45337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2">
      <c r="A3" s="8" t="s">
        <v>15</v>
      </c>
      <c r="B3" s="8" t="s">
        <v>20</v>
      </c>
      <c r="C3" s="8">
        <v>320</v>
      </c>
      <c r="D3" s="9">
        <v>45337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2">
      <c r="A4" s="8" t="s">
        <v>15</v>
      </c>
      <c r="B4" s="8" t="s">
        <v>22</v>
      </c>
      <c r="C4" s="8">
        <v>150</v>
      </c>
      <c r="D4" s="9">
        <v>45337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2">
      <c r="A5" s="8" t="s">
        <v>15</v>
      </c>
      <c r="B5" s="8" t="s">
        <v>25</v>
      </c>
      <c r="C5" s="8">
        <v>400</v>
      </c>
      <c r="D5" s="9">
        <v>45337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2">
      <c r="A6" s="8" t="s">
        <v>18</v>
      </c>
      <c r="B6" s="8" t="s">
        <v>17</v>
      </c>
      <c r="C6" s="8">
        <v>200</v>
      </c>
      <c r="D6" s="9">
        <v>45337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2">
      <c r="A7" s="8" t="s">
        <v>18</v>
      </c>
      <c r="B7" s="8" t="s">
        <v>20</v>
      </c>
      <c r="C7" s="8">
        <v>450</v>
      </c>
      <c r="D7" s="9">
        <v>45337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2">
      <c r="A8" s="8" t="s">
        <v>18</v>
      </c>
      <c r="B8" s="8" t="s">
        <v>22</v>
      </c>
      <c r="C8" s="8">
        <v>180</v>
      </c>
      <c r="D8" s="9">
        <v>45337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2">
      <c r="A9" s="8" t="s">
        <v>18</v>
      </c>
      <c r="B9" s="8" t="s">
        <v>25</v>
      </c>
      <c r="C9" s="8">
        <v>90</v>
      </c>
      <c r="D9" s="9">
        <v>45337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2">
      <c r="A10" s="8" t="s">
        <v>21</v>
      </c>
      <c r="B10" s="8" t="s">
        <v>17</v>
      </c>
      <c r="C10" s="8">
        <v>300</v>
      </c>
      <c r="D10" s="9">
        <v>45337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2">
      <c r="A11" s="8" t="s">
        <v>21</v>
      </c>
      <c r="B11" s="8" t="s">
        <v>20</v>
      </c>
      <c r="C11" s="8">
        <v>250</v>
      </c>
      <c r="D11" s="9">
        <v>45337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2">
      <c r="A12" s="8" t="s">
        <v>21</v>
      </c>
      <c r="B12" s="8" t="s">
        <v>22</v>
      </c>
      <c r="C12" s="8">
        <v>175</v>
      </c>
      <c r="D12" s="9">
        <v>45337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2">
      <c r="A13" s="8" t="s">
        <v>21</v>
      </c>
      <c r="B13" s="8" t="s">
        <v>25</v>
      </c>
      <c r="C13" s="8">
        <v>220</v>
      </c>
      <c r="D13" s="9">
        <v>45337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2">
      <c r="A14" s="8" t="s">
        <v>24</v>
      </c>
      <c r="B14" s="8" t="s">
        <v>17</v>
      </c>
      <c r="C14" s="8">
        <v>45</v>
      </c>
      <c r="D14" s="9">
        <v>45337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2">
      <c r="A15" s="8" t="s">
        <v>24</v>
      </c>
      <c r="B15" s="8" t="s">
        <v>20</v>
      </c>
      <c r="C15" s="8">
        <v>80</v>
      </c>
      <c r="D15" s="9">
        <v>45337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2">
      <c r="A16" s="8" t="s">
        <v>24</v>
      </c>
      <c r="B16" s="8" t="s">
        <v>22</v>
      </c>
      <c r="C16" s="8">
        <v>60</v>
      </c>
      <c r="D16" s="9">
        <v>45337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2">
      <c r="A17" s="8" t="s">
        <v>24</v>
      </c>
      <c r="B17" s="8" t="s">
        <v>25</v>
      </c>
      <c r="C17" s="8">
        <v>35</v>
      </c>
      <c r="D17" s="9">
        <v>45337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2">
      <c r="A18" s="8" t="s">
        <v>26</v>
      </c>
      <c r="B18" s="8" t="s">
        <v>17</v>
      </c>
      <c r="C18" s="8">
        <v>400</v>
      </c>
      <c r="D18" s="9">
        <v>45337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2">
      <c r="A19" s="8" t="s">
        <v>26</v>
      </c>
      <c r="B19" s="8" t="s">
        <v>20</v>
      </c>
      <c r="C19" s="8">
        <v>350</v>
      </c>
      <c r="D19" s="9">
        <v>45337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2">
      <c r="A20" s="8" t="s">
        <v>26</v>
      </c>
      <c r="B20" s="8" t="s">
        <v>22</v>
      </c>
      <c r="C20" s="8">
        <v>280</v>
      </c>
      <c r="D20" s="9">
        <v>45337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>
      <c r="A21" s="8" t="s">
        <v>26</v>
      </c>
      <c r="B21" s="8" t="s">
        <v>25</v>
      </c>
      <c r="C21" s="8">
        <v>190</v>
      </c>
      <c r="D21" s="9">
        <v>45337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2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2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2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2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2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5" max="26" width="12.6640625" hidden="1"/>
  </cols>
  <sheetData>
    <row r="1" spans="1:26" ht="13.2">
      <c r="A1" s="1" t="s">
        <v>14</v>
      </c>
      <c r="B1" s="1" t="s">
        <v>2</v>
      </c>
      <c r="C1" s="1" t="s">
        <v>54</v>
      </c>
      <c r="D1" s="1" t="s">
        <v>55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2">
      <c r="A2" s="10">
        <v>45200</v>
      </c>
      <c r="B2" s="4" t="s">
        <v>15</v>
      </c>
      <c r="C2" s="4">
        <v>1200</v>
      </c>
      <c r="D2" s="4">
        <v>30000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2">
      <c r="A3" s="10">
        <v>45200</v>
      </c>
      <c r="B3" s="4" t="s">
        <v>18</v>
      </c>
      <c r="C3" s="4">
        <v>800</v>
      </c>
      <c r="D3" s="4">
        <v>12000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2">
      <c r="A4" s="10">
        <v>45200</v>
      </c>
      <c r="B4" s="4" t="s">
        <v>21</v>
      </c>
      <c r="C4" s="4">
        <v>450</v>
      </c>
      <c r="D4" s="4">
        <v>20250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2">
      <c r="A5" s="10">
        <v>45200</v>
      </c>
      <c r="B5" s="4" t="s">
        <v>24</v>
      </c>
      <c r="C5" s="4">
        <v>120</v>
      </c>
      <c r="D5" s="4">
        <v>10200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2">
      <c r="A6" s="10">
        <v>45200</v>
      </c>
      <c r="B6" s="4" t="s">
        <v>26</v>
      </c>
      <c r="C6" s="4">
        <v>950</v>
      </c>
      <c r="D6" s="4">
        <v>28500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2">
      <c r="A7" s="10">
        <v>45231</v>
      </c>
      <c r="B7" s="4" t="s">
        <v>15</v>
      </c>
      <c r="C7" s="4">
        <v>1350</v>
      </c>
      <c r="D7" s="4">
        <v>33750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2">
      <c r="A8" s="10">
        <v>45231</v>
      </c>
      <c r="B8" s="4" t="s">
        <v>18</v>
      </c>
      <c r="C8" s="4">
        <v>920</v>
      </c>
      <c r="D8" s="4">
        <v>13800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2">
      <c r="A9" s="10">
        <v>45231</v>
      </c>
      <c r="B9" s="4" t="s">
        <v>21</v>
      </c>
      <c r="C9" s="4">
        <v>380</v>
      </c>
      <c r="D9" s="4">
        <v>17100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2">
      <c r="A10" s="10">
        <v>45231</v>
      </c>
      <c r="B10" s="4" t="s">
        <v>24</v>
      </c>
      <c r="C10" s="4">
        <v>150</v>
      </c>
      <c r="D10" s="4">
        <v>12750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2">
      <c r="A11" s="10">
        <v>45231</v>
      </c>
      <c r="B11" s="4" t="s">
        <v>26</v>
      </c>
      <c r="C11" s="4">
        <v>1100</v>
      </c>
      <c r="D11" s="4">
        <v>33000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2">
      <c r="A12" s="10">
        <v>45261</v>
      </c>
      <c r="B12" s="4" t="s">
        <v>15</v>
      </c>
      <c r="C12" s="4">
        <v>1800</v>
      </c>
      <c r="D12" s="4">
        <v>45000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2">
      <c r="A13" s="10">
        <v>45261</v>
      </c>
      <c r="B13" s="4" t="s">
        <v>18</v>
      </c>
      <c r="C13" s="4">
        <v>1400</v>
      </c>
      <c r="D13" s="4">
        <v>21000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2">
      <c r="A14" s="10">
        <v>45261</v>
      </c>
      <c r="B14" s="4" t="s">
        <v>21</v>
      </c>
      <c r="C14" s="4">
        <v>600</v>
      </c>
      <c r="D14" s="4">
        <v>27000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2">
      <c r="A15" s="10">
        <v>45261</v>
      </c>
      <c r="B15" s="4" t="s">
        <v>24</v>
      </c>
      <c r="C15" s="4">
        <v>200</v>
      </c>
      <c r="D15" s="4">
        <v>17000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2">
      <c r="A16" s="10">
        <v>45261</v>
      </c>
      <c r="B16" s="4" t="s">
        <v>26</v>
      </c>
      <c r="C16" s="4">
        <v>1500</v>
      </c>
      <c r="D16" s="4">
        <v>45000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2">
      <c r="A17" s="11">
        <v>45292</v>
      </c>
      <c r="B17" s="4" t="s">
        <v>15</v>
      </c>
      <c r="C17" s="4">
        <v>1500</v>
      </c>
      <c r="D17" s="4">
        <v>37500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2">
      <c r="A18" s="11">
        <v>45292</v>
      </c>
      <c r="B18" s="4" t="s">
        <v>18</v>
      </c>
      <c r="C18" s="4">
        <v>1100</v>
      </c>
      <c r="D18" s="4">
        <v>16500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2">
      <c r="A19" s="11">
        <v>45292</v>
      </c>
      <c r="B19" s="4" t="s">
        <v>21</v>
      </c>
      <c r="C19" s="4">
        <v>520</v>
      </c>
      <c r="D19" s="4">
        <v>23400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2">
      <c r="A20" s="11">
        <v>45292</v>
      </c>
      <c r="B20" s="4" t="s">
        <v>24</v>
      </c>
      <c r="C20" s="4">
        <v>180</v>
      </c>
      <c r="D20" s="4">
        <v>15300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>
      <c r="A21" s="11">
        <v>45292</v>
      </c>
      <c r="B21" s="4" t="s">
        <v>26</v>
      </c>
      <c r="C21" s="4">
        <v>1250</v>
      </c>
      <c r="D21" s="4">
        <v>37500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>
      <c r="A22" s="11">
        <v>45323</v>
      </c>
      <c r="B22" s="4" t="s">
        <v>15</v>
      </c>
      <c r="C22" s="4">
        <v>1400</v>
      </c>
      <c r="D22" s="4">
        <v>35000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>
      <c r="A23" s="11">
        <v>45323</v>
      </c>
      <c r="B23" s="4" t="s">
        <v>18</v>
      </c>
      <c r="C23" s="4">
        <v>950</v>
      </c>
      <c r="D23" s="4">
        <v>14250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>
      <c r="A24" s="11">
        <v>45323</v>
      </c>
      <c r="B24" s="4" t="s">
        <v>21</v>
      </c>
      <c r="C24" s="4">
        <v>480</v>
      </c>
      <c r="D24" s="4">
        <v>21600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>
      <c r="A25" s="11">
        <v>45323</v>
      </c>
      <c r="B25" s="4" t="s">
        <v>24</v>
      </c>
      <c r="C25" s="4">
        <v>160</v>
      </c>
      <c r="D25" s="4">
        <v>13600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>
      <c r="A26" s="11">
        <v>45323</v>
      </c>
      <c r="B26" s="4" t="s">
        <v>26</v>
      </c>
      <c r="C26" s="4">
        <v>1150</v>
      </c>
      <c r="D26" s="4">
        <v>34500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2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2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2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2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2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1000"/>
  <sheetViews>
    <sheetView showGridLines="0" zoomScale="98" workbookViewId="0">
      <selection activeCell="D4" activeCellId="5" sqref="A1 B1 C1 D1 D2 D4"/>
    </sheetView>
  </sheetViews>
  <sheetFormatPr defaultColWidth="12.6640625" defaultRowHeight="15.75" customHeight="1"/>
  <cols>
    <col min="1" max="1" width="10.33203125" customWidth="1"/>
    <col min="2" max="2" width="14.77734375" customWidth="1"/>
    <col min="3" max="3" width="12.21875" customWidth="1"/>
    <col min="4" max="4" width="13.33203125" customWidth="1"/>
    <col min="5" max="5" width="15" customWidth="1"/>
    <col min="6" max="6" width="12.77734375" customWidth="1"/>
    <col min="7" max="7" width="11.21875" customWidth="1"/>
    <col min="8" max="8" width="14" customWidth="1"/>
    <col min="9" max="9" width="17.109375" customWidth="1"/>
    <col min="10" max="10" width="15.33203125" customWidth="1"/>
    <col min="11" max="11" width="20.44140625" customWidth="1"/>
    <col min="12" max="12" width="19.33203125" customWidth="1"/>
    <col min="13" max="13" width="14.6640625" customWidth="1"/>
    <col min="14" max="14" width="13.21875" hidden="1" customWidth="1"/>
    <col min="15" max="39" width="11.21875" hidden="1" customWidth="1"/>
  </cols>
  <sheetData>
    <row r="1" spans="1:39" ht="13.2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7"/>
      <c r="H1" s="14"/>
      <c r="I1" s="15" t="s">
        <v>83</v>
      </c>
      <c r="J1" s="20"/>
      <c r="K1" s="20"/>
      <c r="L1" s="1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13.2">
      <c r="A2" s="1" t="s">
        <v>16</v>
      </c>
      <c r="B2" s="6">
        <f>COUNTIF(Orders!F:F,A2)</f>
        <v>8</v>
      </c>
      <c r="C2" s="6">
        <f>COUNTIFS(Orders!F:F,A2,Orders!M:M,"Yes")</f>
        <v>7</v>
      </c>
      <c r="D2" s="23">
        <f>C2/B2</f>
        <v>0.875</v>
      </c>
      <c r="E2" s="6">
        <f>AVERAGEIF(Orders!F:F,A2,Orders!K:K)</f>
        <v>5.875</v>
      </c>
      <c r="F2" s="6">
        <f>SUMIF(Orders!F:F,A2,Orders!J:J)</f>
        <v>67062.5</v>
      </c>
      <c r="G2" s="7"/>
      <c r="H2" s="15" t="s">
        <v>5</v>
      </c>
      <c r="I2" s="14" t="s">
        <v>62</v>
      </c>
      <c r="J2" s="21" t="s">
        <v>63</v>
      </c>
      <c r="K2" s="21" t="s">
        <v>64</v>
      </c>
      <c r="L2" s="17" t="s">
        <v>65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ht="13.2">
      <c r="A3" s="1" t="s">
        <v>19</v>
      </c>
      <c r="B3" s="6">
        <f>COUNTIF(Orders!F:F,A3)</f>
        <v>6</v>
      </c>
      <c r="C3" s="6">
        <f>COUNTIFS(Orders!F:F,A3,Orders!M:M,"Yes")</f>
        <v>2</v>
      </c>
      <c r="D3" s="23">
        <f>C3/B3</f>
        <v>0.33333333333333331</v>
      </c>
      <c r="E3" s="12">
        <f>AVERAGEIF(Orders!F:F,A3,Orders!K:K)</f>
        <v>7.333333333333333</v>
      </c>
      <c r="F3" s="6">
        <f>SUMIF(Orders!F:F,A3,Orders!J:J)</f>
        <v>38487.5</v>
      </c>
      <c r="G3" s="7"/>
      <c r="H3" s="14" t="s">
        <v>16</v>
      </c>
      <c r="I3" s="26">
        <v>8</v>
      </c>
      <c r="J3" s="27">
        <v>67062.5</v>
      </c>
      <c r="K3" s="27">
        <v>5.875</v>
      </c>
      <c r="L3" s="35">
        <v>-0.125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ht="13.2">
      <c r="A4" s="1" t="s">
        <v>23</v>
      </c>
      <c r="B4" s="6">
        <f>COUNTIF(Orders!F:F,A4)</f>
        <v>6</v>
      </c>
      <c r="C4" s="6">
        <f>COUNTIFS(Orders!F:F,A4,Orders!M:M,"Yes")</f>
        <v>2</v>
      </c>
      <c r="D4" s="23">
        <f>C4/B4</f>
        <v>0.33333333333333331</v>
      </c>
      <c r="E4" s="6">
        <f>AVERAGEIF(Orders!F:F,A4,Orders!K:K)</f>
        <v>7</v>
      </c>
      <c r="F4" s="6">
        <f>SUMIF(Orders!F:F,A4,Orders!J:J)</f>
        <v>42000</v>
      </c>
      <c r="G4" s="7"/>
      <c r="H4" s="18" t="s">
        <v>19</v>
      </c>
      <c r="I4" s="29">
        <v>6</v>
      </c>
      <c r="J4" s="30">
        <v>38487.5</v>
      </c>
      <c r="K4" s="30">
        <v>7.333333333333333</v>
      </c>
      <c r="L4" s="36">
        <v>1.3333333333333333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ht="13.2">
      <c r="A5" s="7"/>
      <c r="B5" s="7"/>
      <c r="C5" s="7"/>
      <c r="D5" s="7"/>
      <c r="E5" s="7"/>
      <c r="F5" s="7"/>
      <c r="G5" s="7"/>
      <c r="H5" s="18" t="s">
        <v>23</v>
      </c>
      <c r="I5" s="29">
        <v>6</v>
      </c>
      <c r="J5" s="30">
        <v>42000</v>
      </c>
      <c r="K5" s="30">
        <v>7</v>
      </c>
      <c r="L5" s="36">
        <v>1.1666666666666667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ht="13.2">
      <c r="A6" s="7"/>
      <c r="B6" s="7"/>
      <c r="C6" s="7"/>
      <c r="D6" s="7"/>
      <c r="E6" s="7"/>
      <c r="F6" s="7"/>
      <c r="G6" s="7"/>
      <c r="H6" s="19" t="s">
        <v>66</v>
      </c>
      <c r="I6" s="32">
        <v>20</v>
      </c>
      <c r="J6" s="33">
        <v>147550</v>
      </c>
      <c r="K6" s="33">
        <v>6.65</v>
      </c>
      <c r="L6" s="37">
        <v>0.7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39" ht="13.2">
      <c r="A7" s="2" t="s">
        <v>2</v>
      </c>
      <c r="B7" s="2" t="s">
        <v>67</v>
      </c>
      <c r="C7" s="2" t="s">
        <v>9</v>
      </c>
      <c r="D7" s="2" t="s">
        <v>68</v>
      </c>
      <c r="E7" s="2" t="s">
        <v>69</v>
      </c>
      <c r="F7" s="7"/>
      <c r="G7" s="7"/>
      <c r="H7" s="15" t="s">
        <v>2</v>
      </c>
      <c r="I7" s="15" t="s">
        <v>8</v>
      </c>
      <c r="J7" s="20"/>
      <c r="K7" s="20"/>
      <c r="L7" s="20"/>
      <c r="M7" s="1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ht="13.2">
      <c r="A8" s="1" t="s">
        <v>15</v>
      </c>
      <c r="B8" s="6">
        <f>SUMIF(Orders!C:C,A8,Orders!D:D)</f>
        <v>2100</v>
      </c>
      <c r="C8" s="6">
        <f>SUMIF(Orders!C:C,A8,Orders!J:J)</f>
        <v>26250</v>
      </c>
      <c r="D8" s="6">
        <f>AVERAGEIF(Orders!C:C,A8,Orders!D:D)</f>
        <v>420</v>
      </c>
      <c r="E8" s="6">
        <f>SUMIF(Inventory!A:A,A8,Inventory!C:C)</f>
        <v>1450</v>
      </c>
      <c r="F8" s="7"/>
      <c r="G8" s="7"/>
      <c r="H8" s="15" t="s">
        <v>2</v>
      </c>
      <c r="I8" s="14" t="s">
        <v>22</v>
      </c>
      <c r="J8" s="21" t="s">
        <v>17</v>
      </c>
      <c r="K8" s="21" t="s">
        <v>20</v>
      </c>
      <c r="L8" s="21" t="s">
        <v>25</v>
      </c>
      <c r="M8" s="22" t="s">
        <v>66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39" ht="13.2">
      <c r="A9" s="1" t="s">
        <v>18</v>
      </c>
      <c r="B9" s="6">
        <f>SUMIF(Orders!C:C,A9,Orders!D:D)</f>
        <v>1700</v>
      </c>
      <c r="C9" s="6">
        <f>SUMIF(Orders!C:C,A9,Orders!J:J)</f>
        <v>14875</v>
      </c>
      <c r="D9" s="6">
        <f>AVERAGEIF(Orders!C:C,A9,Orders!D:D)</f>
        <v>425</v>
      </c>
      <c r="E9" s="6">
        <f>SUMIF(Inventory!A:A,A9,Inventory!C:C)</f>
        <v>920</v>
      </c>
      <c r="F9" s="7"/>
      <c r="G9" s="7"/>
      <c r="H9" s="14" t="s">
        <v>15</v>
      </c>
      <c r="I9" s="26"/>
      <c r="J9" s="27">
        <v>1300</v>
      </c>
      <c r="K9" s="27">
        <v>450</v>
      </c>
      <c r="L9" s="27">
        <v>350</v>
      </c>
      <c r="M9" s="28">
        <v>2100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39" ht="13.2">
      <c r="A10" s="1" t="s">
        <v>21</v>
      </c>
      <c r="B10" s="6">
        <f>SUMIF(Orders!C:C,A10,Orders!D:D)</f>
        <v>1950</v>
      </c>
      <c r="C10" s="6">
        <f>SUMIF(Orders!C:C,A10,Orders!J:J)</f>
        <v>42900</v>
      </c>
      <c r="D10" s="6">
        <f>AVERAGEIF(Orders!C:C,A10,Orders!D:D)</f>
        <v>487.5</v>
      </c>
      <c r="E10" s="6">
        <f>SUMIF(Inventory!A:A,A10,Inventory!C:C)</f>
        <v>945</v>
      </c>
      <c r="F10" s="7"/>
      <c r="G10" s="7"/>
      <c r="H10" s="18" t="s">
        <v>18</v>
      </c>
      <c r="I10" s="29">
        <v>550</v>
      </c>
      <c r="J10" s="30"/>
      <c r="K10" s="30">
        <v>750</v>
      </c>
      <c r="L10" s="30">
        <v>400</v>
      </c>
      <c r="M10" s="31">
        <v>1700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39" ht="13.2">
      <c r="A11" s="1" t="s">
        <v>24</v>
      </c>
      <c r="B11" s="6">
        <f>SUMIF(Orders!C:C,A11,Orders!D:D)</f>
        <v>700</v>
      </c>
      <c r="C11" s="6">
        <f>SUMIF(Orders!C:C,A11,Orders!J:J)</f>
        <v>31500</v>
      </c>
      <c r="D11" s="6">
        <f>AVERAGEIF(Orders!C:C,A11,Orders!D:D)</f>
        <v>175</v>
      </c>
      <c r="E11" s="6">
        <f>SUMIF(Inventory!A:A,A11,Inventory!C:C)</f>
        <v>220</v>
      </c>
      <c r="F11" s="7"/>
      <c r="G11" s="7"/>
      <c r="H11" s="18" t="s">
        <v>21</v>
      </c>
      <c r="I11" s="29">
        <v>750</v>
      </c>
      <c r="J11" s="30">
        <v>400</v>
      </c>
      <c r="K11" s="30">
        <v>500</v>
      </c>
      <c r="L11" s="30">
        <v>300</v>
      </c>
      <c r="M11" s="31">
        <v>1950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39" ht="13.2">
      <c r="A12" s="1" t="s">
        <v>26</v>
      </c>
      <c r="B12" s="6">
        <f>SUMIF(Orders!C:C,A12,Orders!D:D)</f>
        <v>2100</v>
      </c>
      <c r="C12" s="6">
        <f>SUMIF(Orders!C:C,A12,Orders!J:J)</f>
        <v>32025</v>
      </c>
      <c r="D12" s="6">
        <f>AVERAGEIF(Orders!C:C,A12,Orders!D:D)</f>
        <v>700</v>
      </c>
      <c r="E12" s="6">
        <f>SUMIF(Inventory!A:A,A12,Inventory!C:C)</f>
        <v>1220</v>
      </c>
      <c r="F12" s="7"/>
      <c r="G12" s="7"/>
      <c r="H12" s="18" t="s">
        <v>24</v>
      </c>
      <c r="I12" s="29">
        <v>200</v>
      </c>
      <c r="J12" s="30">
        <v>150</v>
      </c>
      <c r="K12" s="30">
        <v>250</v>
      </c>
      <c r="L12" s="30">
        <v>100</v>
      </c>
      <c r="M12" s="31">
        <v>700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39" ht="13.2">
      <c r="A13" s="7"/>
      <c r="B13" s="7"/>
      <c r="C13" s="7"/>
      <c r="D13" s="7"/>
      <c r="E13" s="7"/>
      <c r="F13" s="7"/>
      <c r="G13" s="7"/>
      <c r="H13" s="18" t="s">
        <v>26</v>
      </c>
      <c r="I13" s="29">
        <v>1300</v>
      </c>
      <c r="J13" s="30">
        <v>800</v>
      </c>
      <c r="K13" s="30"/>
      <c r="L13" s="30"/>
      <c r="M13" s="31">
        <v>2100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1:39" ht="13.2">
      <c r="A14" s="7"/>
      <c r="B14" s="7"/>
      <c r="C14" s="7"/>
      <c r="D14" s="7"/>
      <c r="E14" s="7"/>
      <c r="F14" s="7"/>
      <c r="G14" s="7"/>
      <c r="H14" s="19" t="s">
        <v>66</v>
      </c>
      <c r="I14" s="32">
        <v>2800</v>
      </c>
      <c r="J14" s="33">
        <v>2650</v>
      </c>
      <c r="K14" s="33">
        <v>1950</v>
      </c>
      <c r="L14" s="33">
        <v>1150</v>
      </c>
      <c r="M14" s="34">
        <v>8550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39" ht="13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39" ht="13.2">
      <c r="A16" s="7"/>
      <c r="B16" s="7"/>
      <c r="C16" s="7"/>
      <c r="D16" s="7"/>
      <c r="E16" s="7"/>
      <c r="F16" s="7"/>
      <c r="G16" s="7"/>
      <c r="H16" s="14"/>
      <c r="I16" s="15" t="s">
        <v>83</v>
      </c>
      <c r="J16" s="1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ht="13.2">
      <c r="A17" s="7"/>
      <c r="B17" s="7"/>
      <c r="C17" s="7"/>
      <c r="D17" s="7"/>
      <c r="E17" s="7"/>
      <c r="F17" s="7"/>
      <c r="G17" s="7"/>
      <c r="H17" s="15" t="s">
        <v>14</v>
      </c>
      <c r="I17" s="14" t="s">
        <v>63</v>
      </c>
      <c r="J17" s="17" t="s">
        <v>84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1:39" ht="13.2">
      <c r="A18" s="7"/>
      <c r="B18" s="7"/>
      <c r="C18" s="7"/>
      <c r="D18" s="7"/>
      <c r="E18" s="7"/>
      <c r="F18" s="7"/>
      <c r="G18" s="7"/>
      <c r="H18" s="14" t="s">
        <v>71</v>
      </c>
      <c r="I18" s="26">
        <v>93500</v>
      </c>
      <c r="J18" s="35">
        <v>13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1:39" ht="13.2">
      <c r="A19" s="7"/>
      <c r="B19" s="7"/>
      <c r="C19" s="7"/>
      <c r="D19" s="7"/>
      <c r="E19" s="7"/>
      <c r="F19" s="7"/>
      <c r="G19" s="7"/>
      <c r="H19" s="18" t="s">
        <v>70</v>
      </c>
      <c r="I19" s="29">
        <v>54050</v>
      </c>
      <c r="J19" s="36">
        <v>7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1:39" ht="13.2">
      <c r="A20" s="7"/>
      <c r="B20" s="7"/>
      <c r="C20" s="7"/>
      <c r="D20" s="7"/>
      <c r="E20" s="7"/>
      <c r="F20" s="7"/>
      <c r="G20" s="7"/>
      <c r="H20" s="19" t="s">
        <v>66</v>
      </c>
      <c r="I20" s="32">
        <v>147550</v>
      </c>
      <c r="J20" s="37">
        <v>20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1:39" ht="13.2">
      <c r="A21" s="7"/>
      <c r="B21" s="7"/>
      <c r="C21" s="7"/>
      <c r="D21" s="24"/>
      <c r="E21" s="7"/>
      <c r="F21" s="7"/>
      <c r="G21" s="7"/>
      <c r="H21" s="15" t="s">
        <v>62</v>
      </c>
      <c r="I21" s="15" t="s">
        <v>13</v>
      </c>
      <c r="J21" s="20"/>
      <c r="K21" s="20"/>
      <c r="L21" s="1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 ht="13.2">
      <c r="A22" s="7"/>
      <c r="B22" s="7"/>
      <c r="C22" s="7"/>
      <c r="D22" s="7"/>
      <c r="E22" s="7"/>
      <c r="F22" s="7"/>
      <c r="G22" s="7"/>
      <c r="H22" s="15" t="s">
        <v>5</v>
      </c>
      <c r="I22" s="14" t="s">
        <v>72</v>
      </c>
      <c r="J22" s="21" t="s">
        <v>73</v>
      </c>
      <c r="K22" s="21" t="s">
        <v>74</v>
      </c>
      <c r="L22" s="22" t="s">
        <v>66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ht="13.2">
      <c r="A23" s="7"/>
      <c r="B23" s="7"/>
      <c r="C23" s="7"/>
      <c r="D23" s="7"/>
      <c r="E23" s="7"/>
      <c r="F23" s="7"/>
      <c r="G23" s="7"/>
      <c r="H23" s="14" t="s">
        <v>16</v>
      </c>
      <c r="I23" s="26">
        <v>3028</v>
      </c>
      <c r="J23" s="27">
        <v>1006</v>
      </c>
      <c r="K23" s="27">
        <v>4045</v>
      </c>
      <c r="L23" s="28">
        <v>8079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ht="13.2">
      <c r="A24" s="7"/>
      <c r="B24" s="7"/>
      <c r="C24" s="7"/>
      <c r="D24" s="7"/>
      <c r="E24" s="7"/>
      <c r="F24" s="7"/>
      <c r="G24" s="7"/>
      <c r="H24" s="18" t="s">
        <v>19</v>
      </c>
      <c r="I24" s="29">
        <v>1018</v>
      </c>
      <c r="J24" s="30">
        <v>4037</v>
      </c>
      <c r="K24" s="30">
        <v>1005</v>
      </c>
      <c r="L24" s="31">
        <v>6060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3.2">
      <c r="A25" s="7"/>
      <c r="B25" s="7"/>
      <c r="C25" s="7"/>
      <c r="D25" s="7"/>
      <c r="E25" s="7"/>
      <c r="F25" s="7"/>
      <c r="G25" s="7"/>
      <c r="H25" s="18" t="s">
        <v>23</v>
      </c>
      <c r="I25" s="29">
        <v>1007</v>
      </c>
      <c r="J25" s="30">
        <v>4051</v>
      </c>
      <c r="K25" s="30">
        <v>1013</v>
      </c>
      <c r="L25" s="31">
        <v>6071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3.2">
      <c r="A26" s="7"/>
      <c r="B26" s="7"/>
      <c r="C26" s="7"/>
      <c r="D26" s="7"/>
      <c r="E26" s="7"/>
      <c r="F26" s="7"/>
      <c r="G26" s="7"/>
      <c r="H26" s="19" t="s">
        <v>66</v>
      </c>
      <c r="I26" s="32">
        <v>5053</v>
      </c>
      <c r="J26" s="33">
        <v>9094</v>
      </c>
      <c r="K26" s="33">
        <v>6063</v>
      </c>
      <c r="L26" s="34">
        <v>20210</v>
      </c>
      <c r="M26" s="7"/>
      <c r="N26" s="7" t="s">
        <v>75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13.2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13.2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ht="13.2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13.2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ht="13.2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3.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ht="13.2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3.2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3.2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3.2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3.2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3.2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3.2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 ht="13.2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 ht="13.2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13.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1:39" ht="13.2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39" ht="13.2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ht="13.2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ht="13.2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1:39" ht="13.2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1:39" ht="13.2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1:39" ht="13.2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1:39" ht="13.2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ht="13.2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:39" ht="13.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1:39" ht="13.2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1:39" ht="13.2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:39" ht="13.2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ht="13.2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:39" ht="13.2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1:39" ht="13.2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1:39" ht="13.2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1:39" ht="13.2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3.2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1:39" ht="13.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ht="13.2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ht="13.2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39" ht="13.2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:39" ht="13.2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:39" ht="13.2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:39" ht="13.2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 ht="13.2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:39" ht="13.2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:39" ht="13.2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:39" ht="13.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:39" ht="13.2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:39" ht="13.2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 ht="13.2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:39" ht="13.2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:39" ht="13.2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:39" ht="13.2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:39" ht="13.2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:39" ht="13.2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:39" ht="13.2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:39" ht="13.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ht="13.2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:39" ht="13.2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:39" ht="13.2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:39" ht="13.2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:39" ht="13.2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:39" ht="13.2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:39" ht="13.2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:39" ht="13.2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:39" ht="13.2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:39" ht="13.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:39" ht="13.2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1:39" ht="13.2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1:39" ht="13.2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ht="13.2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1:39" ht="13.2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1:39" ht="13.2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39" ht="13.2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1:39" ht="13.2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39" ht="13.2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 ht="13.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1:39" ht="13.2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39" ht="13.2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1:39" ht="13.2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spans="1:39" ht="13.2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1:39" ht="13.2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1:39" ht="13.2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 ht="13.2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1:39" ht="13.2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1:39" ht="13.2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1:39" ht="13.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ht="13.2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 ht="13.2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1:39" ht="13.2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spans="1:39" ht="13.2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spans="1:39" ht="13.2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spans="1:39" ht="13.2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spans="1:39" ht="13.2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spans="1:39" ht="13.2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spans="1:39" ht="13.2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spans="1:39" ht="13.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1:39" ht="13.2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1:39" ht="13.2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spans="1:39" ht="13.2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spans="1:39" ht="13.2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spans="1:39" ht="13.2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spans="1:39" ht="13.2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1:39" ht="13.2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ht="13.2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1:39" ht="13.2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1:39" ht="13.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spans="1:39" ht="13.2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spans="1:39" ht="13.2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 spans="1:39" ht="13.2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spans="1:39" ht="13.2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 spans="1:39" ht="13.2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spans="1:39" ht="13.2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spans="1:39" ht="13.2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1:39" ht="13.2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spans="1:39" ht="13.2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spans="1:39" ht="13.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</row>
    <row r="143" spans="1:39" ht="13.2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 spans="1:39" ht="13.2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</row>
    <row r="145" spans="1:39" ht="13.2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1:39" ht="13.2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ht="13.2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1:39" ht="13.2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spans="1:39" ht="13.2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</row>
    <row r="150" spans="1:39" ht="13.2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</row>
    <row r="151" spans="1:39" ht="13.2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</row>
    <row r="152" spans="1:39" ht="13.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</row>
    <row r="153" spans="1:39" ht="13.2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spans="1:39" ht="13.2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spans="1:39" ht="13.2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spans="1:39" ht="13.2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1:39" ht="13.2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spans="1:39" ht="13.2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spans="1:39" ht="13.2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spans="1:39" ht="13.2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</row>
    <row r="161" spans="1:39" ht="13.2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spans="1:39" ht="13.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spans="1:39" ht="13.2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1:39" ht="13.2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spans="1:39" ht="13.2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1:39" ht="13.2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</row>
    <row r="167" spans="1:39" ht="13.2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spans="1:39" ht="13.2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spans="1:39" ht="13.2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spans="1:39" ht="13.2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spans="1:39" ht="13.2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</row>
    <row r="172" spans="1:39" ht="13.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spans="1:39" ht="13.2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1:39" ht="13.2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spans="1:39" ht="13.2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spans="1:39" ht="13.2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</row>
    <row r="177" spans="1:39" ht="13.2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</row>
    <row r="178" spans="1:39" ht="13.2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</row>
    <row r="179" spans="1:39" ht="13.2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ht="13.2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1:39" ht="13.2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1:39" ht="13.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spans="1:39" ht="13.2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spans="1:39" ht="13.2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spans="1:39" ht="13.2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spans="1:39" ht="13.2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</row>
    <row r="187" spans="1:39" ht="13.2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spans="1:39" ht="13.2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</row>
    <row r="189" spans="1:39" ht="13.2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</row>
    <row r="190" spans="1:39" ht="13.2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spans="1:39" ht="13.2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spans="1:39" ht="13.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spans="1:39" ht="13.2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</row>
    <row r="194" spans="1:39" ht="13.2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</row>
    <row r="195" spans="1:39" ht="13.2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</row>
    <row r="196" spans="1:39" ht="13.2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spans="1:39" ht="13.2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ht="13.2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spans="1:39" ht="13.2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spans="1:39" ht="13.2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</row>
    <row r="201" spans="1:39" ht="13.2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</row>
    <row r="202" spans="1:39" ht="13.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spans="1:39" ht="13.2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</row>
    <row r="204" spans="1:39" ht="13.2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</row>
    <row r="205" spans="1:39" ht="13.2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spans="1:39" ht="13.2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</row>
    <row r="207" spans="1:39" ht="13.2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1:39" ht="13.2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</row>
    <row r="209" spans="1:39" ht="13.2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spans="1:39" ht="13.2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</row>
    <row r="211" spans="1:39" ht="13.2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spans="1:39" ht="13.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spans="1:39" ht="13.2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spans="1:39" ht="13.2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spans="1:39" ht="13.2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1:39" ht="13.2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spans="1:39" ht="13.2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</row>
    <row r="218" spans="1:39" ht="13.2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</row>
    <row r="219" spans="1:39" ht="13.2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</row>
    <row r="220" spans="1:39" ht="13.2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</row>
    <row r="221" spans="1:39" ht="13.2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spans="1:39" ht="13.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</row>
    <row r="223" spans="1:39" ht="13.2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spans="1:39" ht="13.2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spans="1:39" ht="13.2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</row>
    <row r="226" spans="1:39" ht="13.2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spans="1:39" ht="13.2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</row>
    <row r="228" spans="1:39" ht="13.2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</row>
    <row r="229" spans="1:39" ht="13.2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</row>
    <row r="230" spans="1:39" ht="13.2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spans="1:39" ht="13.2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1:39" ht="13.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spans="1:39" ht="13.2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1:39" ht="13.2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  <row r="235" spans="1:39" ht="13.2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</row>
    <row r="236" spans="1:39" ht="13.2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</row>
    <row r="237" spans="1:39" ht="13.2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spans="1:39" ht="13.2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spans="1:39" ht="13.2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spans="1:39" ht="13.2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</row>
    <row r="241" spans="1:39" ht="13.2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1:39" ht="13.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</row>
    <row r="243" spans="1:39" ht="13.2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1:39" ht="13.2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</row>
    <row r="245" spans="1:39" ht="13.2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spans="1:39" ht="13.2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</row>
    <row r="247" spans="1:39" ht="13.2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spans="1:39" ht="13.2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spans="1:39" ht="13.2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spans="1:39" ht="13.2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spans="1:39" ht="13.2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spans="1:39" ht="13.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spans="1:39" ht="13.2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spans="1:39" ht="13.2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</row>
    <row r="255" spans="1:39" ht="13.2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spans="1:39" ht="13.2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</row>
    <row r="257" spans="1:39" ht="13.2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spans="1:39" ht="13.2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1:39" ht="13.2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spans="1:39" ht="13.2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spans="1:39" ht="13.2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spans="1:39" ht="13.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</row>
    <row r="263" spans="1:39" ht="13.2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spans="1:39" ht="13.2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ht="13.2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ht="13.2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1:39" ht="13.2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1:39" ht="13.2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spans="1:39" ht="13.2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spans="1:39" ht="13.2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spans="1:39" ht="13.2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spans="1:39" ht="13.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spans="1:39" ht="13.2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spans="1:39" ht="13.2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spans="1:39" ht="13.2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1:39" ht="13.2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spans="1:39" ht="13.2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1:39" ht="13.2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spans="1:39" ht="13.2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spans="1:39" ht="13.2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1:39" ht="13.2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spans="1:39" ht="13.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ht="13.2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1:39" ht="13.2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ht="13.2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1:39" ht="13.2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spans="1:39" ht="13.2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spans="1:39" ht="13.2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spans="1:39" ht="13.2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spans="1:39" ht="13.2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spans="1:39" ht="13.2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spans="1:39" ht="13.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</row>
    <row r="293" spans="1:39" ht="13.2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spans="1:39" ht="13.2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spans="1:39" ht="13.2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spans="1:39" ht="13.2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spans="1:39" ht="13.2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spans="1:39" ht="13.2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spans="1:39" ht="13.2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spans="1:39" ht="13.2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spans="1:39" ht="13.2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</row>
    <row r="302" spans="1:39" ht="13.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spans="1:39" ht="13.2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spans="1:39" ht="13.2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spans="1:39" ht="13.2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spans="1:39" ht="13.2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1:39" ht="13.2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spans="1:39" ht="13.2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1:39" ht="13.2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</row>
    <row r="310" spans="1:39" ht="13.2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spans="1:39" ht="13.2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spans="1:39" ht="13.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spans="1:39" ht="13.2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spans="1:39" ht="13.2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spans="1:39" ht="13.2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spans="1:39" ht="13.2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</row>
    <row r="317" spans="1:39" ht="13.2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spans="1:39" ht="13.2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spans="1:39" ht="13.2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spans="1:39" ht="13.2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spans="1:39" ht="13.2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1:39" ht="13.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spans="1:39" ht="13.2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spans="1:39" ht="13.2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spans="1:39" ht="13.2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spans="1:39" ht="13.2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spans="1:39" ht="13.2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spans="1:39" ht="13.2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</row>
    <row r="329" spans="1:39" ht="13.2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spans="1:39" ht="13.2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spans="1:39" ht="13.2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spans="1:39" ht="13.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1:39" ht="13.2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ht="13.2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spans="1:39" ht="13.2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spans="1:39" ht="13.2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1:39" ht="13.2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spans="1:39" ht="13.2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spans="1:39" ht="13.2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spans="1:39" ht="13.2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spans="1:39" ht="13.2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spans="1:39" ht="13.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1:39" ht="13.2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</row>
    <row r="344" spans="1:39" ht="13.2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spans="1:39" ht="13.2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spans="1:39" ht="13.2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spans="1:39" ht="13.2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</row>
    <row r="348" spans="1:39" ht="13.2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spans="1:39" ht="13.2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spans="1:39" ht="13.2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1:39" ht="13.2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spans="1:39" ht="13.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spans="1:39" ht="13.2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spans="1:39" ht="13.2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spans="1:39" ht="13.2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spans="1:39" ht="13.2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</row>
    <row r="357" spans="1:39" ht="13.2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spans="1:39" ht="13.2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</row>
    <row r="359" spans="1:39" ht="13.2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</row>
    <row r="360" spans="1:39" ht="13.2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spans="1:39" ht="13.2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spans="1:39" ht="13.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spans="1:39" ht="13.2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spans="1:39" ht="13.2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spans="1:39" ht="13.2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ht="13.2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1:39" ht="13.2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spans="1:39" ht="13.2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spans="1:39" ht="13.2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1:39" ht="13.2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1:39" ht="13.2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spans="1:39" ht="13.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spans="1:39" ht="13.2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1:39" ht="13.2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</row>
    <row r="375" spans="1:39" ht="13.2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ht="13.2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spans="1:39" ht="13.2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spans="1:39" ht="13.2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1:39" ht="13.2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spans="1:39" ht="13.2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spans="1:39" ht="13.2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1:39" ht="13.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</row>
    <row r="383" spans="1:39" ht="13.2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spans="1:39" ht="13.2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1:39" ht="13.2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1:39" ht="13.2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1:39" ht="13.2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1:39" ht="13.2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1:39" ht="13.2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1:39" ht="13.2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1:39" ht="13.2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1:39" ht="13.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1:39" ht="13.2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1:39" ht="13.2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1:39" ht="13.2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1:39" ht="13.2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1:39" ht="13.2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1:39" ht="13.2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spans="1:39" ht="13.2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1:39" ht="13.2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1:39" ht="13.2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1:39" ht="13.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spans="1:39" ht="13.2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spans="1:39" ht="13.2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1:39" ht="13.2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1:39" ht="13.2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1:39" ht="13.2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1:39" ht="13.2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spans="1:39" ht="13.2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1:39" ht="13.2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1:39" ht="13.2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spans="1:39" ht="13.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1:39" ht="13.2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1:39" ht="13.2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1:39" ht="13.2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1:39" ht="13.2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1:39" ht="13.2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1:39" ht="13.2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spans="1:39" ht="13.2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1:39" ht="13.2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1:39" ht="13.2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1:39" ht="13.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spans="1:39" ht="13.2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1:39" ht="13.2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1:39" ht="13.2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1:39" ht="13.2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1:39" ht="13.2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spans="1:39" ht="13.2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1:39" ht="13.2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1:39" ht="13.2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1:39" ht="13.2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1:39" ht="13.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1:39" ht="13.2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1:39" ht="13.2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1:39" ht="13.2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1:39" ht="13.2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1:39" ht="13.2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1:39" ht="13.2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spans="1:39" ht="13.2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1:39" ht="13.2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1:39" ht="13.2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1:39" ht="13.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1:39" ht="13.2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spans="1:39" ht="13.2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1:39" ht="13.2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1:39" ht="13.2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spans="1:39" ht="13.2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1:39" ht="13.2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1:39" ht="13.2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1:39" ht="13.2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1:39" ht="13.2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1:39" ht="13.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1:39" ht="13.2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1:39" ht="13.2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1:39" ht="13.2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spans="1:39" ht="13.2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1:39" ht="13.2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1:39" ht="13.2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spans="1:39" ht="13.2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spans="1:39" ht="13.2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spans="1:39" ht="13.2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spans="1:39" ht="13.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spans="1:39" ht="13.2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spans="1:39" ht="13.2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spans="1:39" ht="13.2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spans="1:39" ht="13.2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spans="1:39" ht="13.2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spans="1:39" ht="13.2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spans="1:39" ht="13.2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spans="1:39" ht="13.2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spans="1:39" ht="13.2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spans="1:39" ht="13.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spans="1:39" ht="13.2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spans="1:39" ht="13.2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spans="1:39" ht="13.2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spans="1:39" ht="13.2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spans="1:39" ht="13.2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spans="1:39" ht="13.2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spans="1:39" ht="13.2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spans="1:39" ht="13.2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spans="1:39" ht="13.2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1:39" ht="13.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spans="1:39" ht="13.2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spans="1:39" ht="13.2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spans="1:39" ht="13.2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spans="1:39" ht="13.2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spans="1:39" ht="13.2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spans="1:39" ht="13.2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spans="1:39" ht="13.2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spans="1:39" ht="13.2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spans="1:39" ht="13.2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spans="1:39" ht="13.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spans="1:39" ht="13.2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spans="1:39" ht="13.2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spans="1:39" ht="13.2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spans="1:39" ht="13.2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spans="1:39" ht="13.2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spans="1:39" ht="13.2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spans="1:39" ht="13.2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spans="1:39" ht="13.2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spans="1:39" ht="13.2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1:39" ht="13.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spans="1:39" ht="13.2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spans="1:39" ht="13.2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spans="1:39" ht="13.2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spans="1:39" ht="13.2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spans="1:39" ht="13.2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spans="1:39" ht="13.2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spans="1:39" ht="13.2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spans="1:39" ht="13.2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spans="1:39" ht="13.2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spans="1:39" ht="13.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spans="1:39" ht="13.2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spans="1:39" ht="13.2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spans="1:39" ht="13.2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spans="1:39" ht="13.2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spans="1:39" ht="13.2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spans="1:39" ht="13.2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spans="1:39" ht="13.2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spans="1:39" ht="13.2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spans="1:39" ht="13.2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spans="1:39" ht="13.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spans="1:39" ht="13.2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spans="1:39" ht="13.2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spans="1:39" ht="13.2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  <row r="526" spans="1:39" ht="13.2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</row>
    <row r="527" spans="1:39" ht="13.2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</row>
    <row r="528" spans="1:39" ht="13.2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</row>
    <row r="529" spans="1:39" ht="13.2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</row>
    <row r="530" spans="1:39" ht="13.2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</row>
    <row r="531" spans="1:39" ht="13.2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</row>
    <row r="532" spans="1:39" ht="13.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</row>
    <row r="533" spans="1:39" ht="13.2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</row>
    <row r="534" spans="1:39" ht="13.2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</row>
    <row r="535" spans="1:39" ht="13.2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</row>
    <row r="536" spans="1:39" ht="13.2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</row>
    <row r="537" spans="1:39" ht="13.2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</row>
    <row r="538" spans="1:39" ht="13.2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</row>
    <row r="539" spans="1:39" ht="13.2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</row>
    <row r="540" spans="1:39" ht="13.2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</row>
    <row r="541" spans="1:39" ht="13.2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</row>
    <row r="542" spans="1:39" ht="13.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</row>
    <row r="543" spans="1:39" ht="13.2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</row>
    <row r="544" spans="1:39" ht="13.2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</row>
    <row r="545" spans="1:39" ht="13.2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</row>
    <row r="546" spans="1:39" ht="13.2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</row>
    <row r="547" spans="1:39" ht="13.2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</row>
    <row r="548" spans="1:39" ht="13.2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</row>
    <row r="549" spans="1:39" ht="13.2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</row>
    <row r="550" spans="1:39" ht="13.2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</row>
    <row r="551" spans="1:39" ht="13.2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</row>
    <row r="552" spans="1:39" ht="13.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</row>
    <row r="553" spans="1:39" ht="13.2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</row>
    <row r="554" spans="1:39" ht="13.2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</row>
    <row r="555" spans="1:39" ht="13.2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</row>
    <row r="556" spans="1:39" ht="13.2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</row>
    <row r="557" spans="1:39" ht="13.2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</row>
    <row r="558" spans="1:39" ht="13.2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</row>
    <row r="559" spans="1:39" ht="13.2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</row>
    <row r="560" spans="1:39" ht="13.2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</row>
    <row r="561" spans="1:39" ht="13.2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</row>
    <row r="562" spans="1:39" ht="13.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</row>
    <row r="563" spans="1:39" ht="13.2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</row>
    <row r="564" spans="1:39" ht="13.2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</row>
    <row r="565" spans="1:39" ht="13.2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</row>
    <row r="566" spans="1:39" ht="13.2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</row>
    <row r="567" spans="1:39" ht="13.2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</row>
    <row r="568" spans="1:39" ht="13.2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</row>
    <row r="569" spans="1:39" ht="13.2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</row>
    <row r="570" spans="1:39" ht="13.2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</row>
    <row r="571" spans="1:39" ht="13.2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</row>
    <row r="572" spans="1:39" ht="13.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</row>
    <row r="573" spans="1:39" ht="13.2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</row>
    <row r="574" spans="1:39" ht="13.2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</row>
    <row r="575" spans="1:39" ht="13.2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</row>
    <row r="576" spans="1:39" ht="13.2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</row>
    <row r="577" spans="1:39" ht="13.2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</row>
    <row r="578" spans="1:39" ht="13.2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</row>
    <row r="579" spans="1:39" ht="13.2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</row>
    <row r="580" spans="1:39" ht="13.2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</row>
    <row r="581" spans="1:39" ht="13.2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</row>
    <row r="582" spans="1:39" ht="13.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</row>
    <row r="583" spans="1:39" ht="13.2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</row>
    <row r="584" spans="1:39" ht="13.2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</row>
    <row r="585" spans="1:39" ht="13.2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</row>
    <row r="586" spans="1:39" ht="13.2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</row>
    <row r="587" spans="1:39" ht="13.2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</row>
    <row r="588" spans="1:39" ht="13.2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</row>
    <row r="589" spans="1:39" ht="13.2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</row>
    <row r="590" spans="1:39" ht="13.2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</row>
    <row r="591" spans="1:39" ht="13.2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</row>
    <row r="592" spans="1:39" ht="13.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</row>
    <row r="593" spans="1:39" ht="13.2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</row>
    <row r="594" spans="1:39" ht="13.2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</row>
    <row r="595" spans="1:39" ht="13.2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</row>
    <row r="596" spans="1:39" ht="13.2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</row>
    <row r="597" spans="1:39" ht="13.2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</row>
    <row r="598" spans="1:39" ht="13.2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</row>
    <row r="599" spans="1:39" ht="13.2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</row>
    <row r="600" spans="1:39" ht="13.2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</row>
    <row r="601" spans="1:39" ht="13.2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</row>
    <row r="602" spans="1:39" ht="13.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</row>
    <row r="603" spans="1:39" ht="13.2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</row>
    <row r="604" spans="1:39" ht="13.2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</row>
    <row r="605" spans="1:39" ht="13.2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</row>
    <row r="606" spans="1:39" ht="13.2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</row>
    <row r="607" spans="1:39" ht="13.2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</row>
    <row r="608" spans="1:39" ht="13.2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</row>
    <row r="609" spans="1:39" ht="13.2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</row>
    <row r="610" spans="1:39" ht="13.2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</row>
    <row r="611" spans="1:39" ht="13.2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</row>
    <row r="612" spans="1:39" ht="13.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</row>
    <row r="613" spans="1:39" ht="13.2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</row>
    <row r="614" spans="1:39" ht="13.2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</row>
    <row r="615" spans="1:39" ht="13.2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</row>
    <row r="616" spans="1:39" ht="13.2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</row>
    <row r="617" spans="1:39" ht="13.2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</row>
    <row r="618" spans="1:39" ht="13.2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</row>
    <row r="619" spans="1:39" ht="13.2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</row>
    <row r="620" spans="1:39" ht="13.2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</row>
    <row r="621" spans="1:39" ht="13.2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</row>
    <row r="622" spans="1:39" ht="13.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</row>
    <row r="623" spans="1:39" ht="13.2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</row>
    <row r="624" spans="1:39" ht="13.2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</row>
    <row r="625" spans="1:39" ht="13.2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</row>
    <row r="626" spans="1:39" ht="13.2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</row>
    <row r="627" spans="1:39" ht="13.2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</row>
    <row r="628" spans="1:39" ht="13.2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</row>
    <row r="629" spans="1:39" ht="13.2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</row>
    <row r="630" spans="1:39" ht="13.2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</row>
    <row r="631" spans="1:39" ht="13.2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</row>
    <row r="632" spans="1:39" ht="13.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</row>
    <row r="633" spans="1:39" ht="13.2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</row>
    <row r="634" spans="1:39" ht="13.2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</row>
    <row r="635" spans="1:39" ht="13.2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</row>
    <row r="636" spans="1:39" ht="13.2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</row>
    <row r="637" spans="1:39" ht="13.2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</row>
    <row r="638" spans="1:39" ht="13.2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</row>
    <row r="639" spans="1:39" ht="13.2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</row>
    <row r="640" spans="1:39" ht="13.2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</row>
    <row r="641" spans="1:39" ht="13.2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</row>
    <row r="642" spans="1:39" ht="13.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</row>
    <row r="643" spans="1:39" ht="13.2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</row>
    <row r="644" spans="1:39" ht="13.2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</row>
    <row r="645" spans="1:39" ht="13.2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</row>
    <row r="646" spans="1:39" ht="13.2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</row>
    <row r="647" spans="1:39" ht="13.2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</row>
    <row r="648" spans="1:39" ht="13.2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</row>
    <row r="649" spans="1:39" ht="13.2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</row>
    <row r="650" spans="1:39" ht="13.2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</row>
    <row r="651" spans="1:39" ht="13.2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</row>
    <row r="652" spans="1:39" ht="13.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</row>
    <row r="653" spans="1:39" ht="13.2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</row>
    <row r="654" spans="1:39" ht="13.2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</row>
    <row r="655" spans="1:39" ht="13.2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</row>
    <row r="656" spans="1:39" ht="13.2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</row>
    <row r="657" spans="1:39" ht="13.2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</row>
    <row r="658" spans="1:39" ht="13.2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</row>
    <row r="659" spans="1:39" ht="13.2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</row>
    <row r="660" spans="1:39" ht="13.2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</row>
    <row r="661" spans="1:39" ht="13.2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</row>
    <row r="662" spans="1:39" ht="13.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</row>
    <row r="663" spans="1:39" ht="13.2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</row>
    <row r="664" spans="1:39" ht="13.2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</row>
    <row r="665" spans="1:39" ht="13.2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</row>
    <row r="666" spans="1:39" ht="13.2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</row>
    <row r="667" spans="1:39" ht="13.2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</row>
    <row r="668" spans="1:39" ht="13.2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</row>
    <row r="669" spans="1:39" ht="13.2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</row>
    <row r="670" spans="1:39" ht="13.2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</row>
    <row r="671" spans="1:39" ht="13.2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</row>
    <row r="672" spans="1:39" ht="13.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</row>
    <row r="673" spans="1:39" ht="13.2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</row>
    <row r="674" spans="1:39" ht="13.2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</row>
    <row r="675" spans="1:39" ht="13.2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</row>
    <row r="676" spans="1:39" ht="13.2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</row>
    <row r="677" spans="1:39" ht="13.2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</row>
    <row r="678" spans="1:39" ht="13.2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</row>
    <row r="679" spans="1:39" ht="13.2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</row>
    <row r="680" spans="1:39" ht="13.2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</row>
    <row r="681" spans="1:39" ht="13.2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</row>
    <row r="682" spans="1:39" ht="13.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</row>
    <row r="683" spans="1:39" ht="13.2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</row>
    <row r="684" spans="1:39" ht="13.2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</row>
    <row r="685" spans="1:39" ht="13.2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</row>
    <row r="686" spans="1:39" ht="13.2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</row>
    <row r="687" spans="1:39" ht="13.2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</row>
    <row r="688" spans="1:39" ht="13.2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</row>
    <row r="689" spans="1:39" ht="13.2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</row>
    <row r="690" spans="1:39" ht="13.2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</row>
    <row r="691" spans="1:39" ht="13.2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</row>
    <row r="692" spans="1:39" ht="13.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</row>
    <row r="693" spans="1:39" ht="13.2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</row>
    <row r="694" spans="1:39" ht="13.2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</row>
    <row r="695" spans="1:39" ht="13.2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</row>
    <row r="696" spans="1:39" ht="13.2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</row>
    <row r="697" spans="1:39" ht="13.2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</row>
    <row r="698" spans="1:39" ht="13.2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</row>
    <row r="699" spans="1:39" ht="13.2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</row>
    <row r="700" spans="1:39" ht="13.2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</row>
    <row r="701" spans="1:39" ht="13.2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</row>
    <row r="702" spans="1:39" ht="13.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</row>
    <row r="703" spans="1:39" ht="13.2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</row>
    <row r="704" spans="1:39" ht="13.2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</row>
    <row r="705" spans="1:39" ht="13.2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</row>
    <row r="706" spans="1:39" ht="13.2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</row>
    <row r="707" spans="1:39" ht="13.2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</row>
    <row r="708" spans="1:39" ht="13.2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</row>
    <row r="709" spans="1:39" ht="13.2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</row>
    <row r="710" spans="1:39" ht="13.2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</row>
    <row r="711" spans="1:39" ht="13.2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</row>
    <row r="712" spans="1:39" ht="13.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</row>
    <row r="713" spans="1:39" ht="13.2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</row>
    <row r="714" spans="1:39" ht="13.2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</row>
    <row r="715" spans="1:39" ht="13.2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</row>
    <row r="716" spans="1:39" ht="13.2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</row>
    <row r="717" spans="1:39" ht="13.2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</row>
    <row r="718" spans="1:39" ht="13.2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</row>
    <row r="719" spans="1:39" ht="13.2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</row>
    <row r="720" spans="1:39" ht="13.2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</row>
    <row r="721" spans="1:39" ht="13.2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</row>
    <row r="722" spans="1:39" ht="13.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</row>
    <row r="723" spans="1:39" ht="13.2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</row>
    <row r="724" spans="1:39" ht="13.2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</row>
    <row r="725" spans="1:39" ht="13.2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</row>
    <row r="726" spans="1:39" ht="13.2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</row>
    <row r="727" spans="1:39" ht="13.2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</row>
    <row r="728" spans="1:39" ht="13.2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</row>
    <row r="729" spans="1:39" ht="13.2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</row>
    <row r="730" spans="1:39" ht="13.2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</row>
    <row r="731" spans="1:39" ht="13.2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</row>
    <row r="732" spans="1:39" ht="13.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</row>
    <row r="733" spans="1:39" ht="13.2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</row>
    <row r="734" spans="1:39" ht="13.2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</row>
    <row r="735" spans="1:39" ht="13.2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</row>
    <row r="736" spans="1:39" ht="13.2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</row>
    <row r="737" spans="1:39" ht="13.2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</row>
    <row r="738" spans="1:39" ht="13.2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</row>
    <row r="739" spans="1:39" ht="13.2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</row>
    <row r="740" spans="1:39" ht="13.2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</row>
    <row r="741" spans="1:39" ht="13.2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</row>
    <row r="742" spans="1:39" ht="13.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</row>
    <row r="743" spans="1:39" ht="13.2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</row>
    <row r="744" spans="1:39" ht="13.2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</row>
    <row r="745" spans="1:39" ht="13.2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</row>
    <row r="746" spans="1:39" ht="13.2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</row>
    <row r="747" spans="1:39" ht="13.2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</row>
    <row r="748" spans="1:39" ht="13.2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</row>
    <row r="749" spans="1:39" ht="13.2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</row>
    <row r="750" spans="1:39" ht="13.2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</row>
    <row r="751" spans="1:39" ht="13.2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</row>
    <row r="752" spans="1:39" ht="13.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</row>
    <row r="753" spans="1:39" ht="13.2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</row>
    <row r="754" spans="1:39" ht="13.2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</row>
    <row r="755" spans="1:39" ht="13.2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</row>
    <row r="756" spans="1:39" ht="13.2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</row>
    <row r="757" spans="1:39" ht="13.2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</row>
    <row r="758" spans="1:39" ht="13.2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</row>
    <row r="759" spans="1:39" ht="13.2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</row>
    <row r="760" spans="1:39" ht="13.2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</row>
    <row r="761" spans="1:39" ht="13.2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</row>
    <row r="762" spans="1:39" ht="13.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</row>
    <row r="763" spans="1:39" ht="13.2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</row>
    <row r="764" spans="1:39" ht="13.2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</row>
    <row r="765" spans="1:39" ht="13.2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</row>
    <row r="766" spans="1:39" ht="13.2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</row>
    <row r="767" spans="1:39" ht="13.2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</row>
    <row r="768" spans="1:39" ht="13.2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</row>
    <row r="769" spans="1:39" ht="13.2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</row>
    <row r="770" spans="1:39" ht="13.2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</row>
    <row r="771" spans="1:39" ht="13.2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</row>
    <row r="772" spans="1:39" ht="13.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</row>
    <row r="773" spans="1:39" ht="13.2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</row>
    <row r="774" spans="1:39" ht="13.2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</row>
    <row r="775" spans="1:39" ht="13.2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</row>
    <row r="776" spans="1:39" ht="13.2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</row>
    <row r="777" spans="1:39" ht="13.2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</row>
    <row r="778" spans="1:39" ht="13.2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</row>
    <row r="779" spans="1:39" ht="13.2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</row>
    <row r="780" spans="1:39" ht="13.2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</row>
    <row r="781" spans="1:39" ht="13.2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</row>
    <row r="782" spans="1:39" ht="13.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</row>
    <row r="783" spans="1:39" ht="13.2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</row>
    <row r="784" spans="1:39" ht="13.2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</row>
    <row r="785" spans="1:39" ht="13.2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</row>
    <row r="786" spans="1:39" ht="13.2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</row>
    <row r="787" spans="1:39" ht="13.2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</row>
    <row r="788" spans="1:39" ht="13.2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</row>
    <row r="789" spans="1:39" ht="13.2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</row>
    <row r="790" spans="1:39" ht="13.2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</row>
    <row r="791" spans="1:39" ht="13.2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</row>
    <row r="792" spans="1:39" ht="13.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</row>
    <row r="793" spans="1:39" ht="13.2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</row>
    <row r="794" spans="1:39" ht="13.2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</row>
    <row r="795" spans="1:39" ht="13.2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</row>
    <row r="796" spans="1:39" ht="13.2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</row>
    <row r="797" spans="1:39" ht="13.2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</row>
    <row r="798" spans="1:39" ht="13.2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</row>
    <row r="799" spans="1:39" ht="13.2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</row>
    <row r="800" spans="1:39" ht="13.2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</row>
    <row r="801" spans="1:39" ht="13.2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</row>
    <row r="802" spans="1:39" ht="13.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</row>
    <row r="803" spans="1:39" ht="13.2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</row>
    <row r="804" spans="1:39" ht="13.2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</row>
    <row r="805" spans="1:39" ht="13.2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</row>
    <row r="806" spans="1:39" ht="13.2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</row>
    <row r="807" spans="1:39" ht="13.2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</row>
    <row r="808" spans="1:39" ht="13.2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</row>
    <row r="809" spans="1:39" ht="13.2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</row>
    <row r="810" spans="1:39" ht="13.2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</row>
    <row r="811" spans="1:39" ht="13.2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</row>
    <row r="812" spans="1:39" ht="13.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</row>
    <row r="813" spans="1:39" ht="13.2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</row>
    <row r="814" spans="1:39" ht="13.2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</row>
    <row r="815" spans="1:39" ht="13.2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</row>
    <row r="816" spans="1:39" ht="13.2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</row>
    <row r="817" spans="1:39" ht="13.2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</row>
    <row r="818" spans="1:39" ht="13.2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</row>
    <row r="819" spans="1:39" ht="13.2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</row>
    <row r="820" spans="1:39" ht="13.2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</row>
    <row r="821" spans="1:39" ht="13.2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</row>
    <row r="822" spans="1:39" ht="13.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</row>
    <row r="823" spans="1:39" ht="13.2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</row>
    <row r="824" spans="1:39" ht="13.2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</row>
    <row r="825" spans="1:39" ht="13.2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</row>
    <row r="826" spans="1:39" ht="13.2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</row>
    <row r="827" spans="1:39" ht="13.2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</row>
    <row r="828" spans="1:39" ht="13.2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</row>
    <row r="829" spans="1:39" ht="13.2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</row>
    <row r="830" spans="1:39" ht="13.2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</row>
    <row r="831" spans="1:39" ht="13.2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</row>
    <row r="832" spans="1:39" ht="13.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</row>
    <row r="833" spans="1:39" ht="13.2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</row>
    <row r="834" spans="1:39" ht="13.2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</row>
    <row r="835" spans="1:39" ht="13.2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</row>
    <row r="836" spans="1:39" ht="13.2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</row>
    <row r="837" spans="1:39" ht="13.2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</row>
    <row r="838" spans="1:39" ht="13.2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</row>
    <row r="839" spans="1:39" ht="13.2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</row>
    <row r="840" spans="1:39" ht="13.2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</row>
    <row r="841" spans="1:39" ht="13.2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</row>
    <row r="842" spans="1:39" ht="13.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</row>
    <row r="843" spans="1:39" ht="13.2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</row>
    <row r="844" spans="1:39" ht="13.2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</row>
    <row r="845" spans="1:39" ht="13.2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</row>
    <row r="846" spans="1:39" ht="13.2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</row>
    <row r="847" spans="1:39" ht="13.2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</row>
    <row r="848" spans="1:39" ht="13.2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</row>
    <row r="849" spans="1:39" ht="13.2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</row>
    <row r="850" spans="1:39" ht="13.2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</row>
    <row r="851" spans="1:39" ht="13.2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</row>
    <row r="852" spans="1:39" ht="13.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</row>
    <row r="853" spans="1:39" ht="13.2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</row>
    <row r="854" spans="1:39" ht="13.2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</row>
    <row r="855" spans="1:39" ht="13.2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</row>
    <row r="856" spans="1:39" ht="13.2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</row>
    <row r="857" spans="1:39" ht="13.2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</row>
    <row r="858" spans="1:39" ht="13.2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</row>
    <row r="859" spans="1:39" ht="13.2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</row>
    <row r="860" spans="1:39" ht="13.2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</row>
    <row r="861" spans="1:39" ht="13.2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</row>
    <row r="862" spans="1:39" ht="13.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</row>
    <row r="863" spans="1:39" ht="13.2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</row>
    <row r="864" spans="1:39" ht="13.2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</row>
    <row r="865" spans="1:39" ht="13.2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</row>
    <row r="866" spans="1:39" ht="13.2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</row>
    <row r="867" spans="1:39" ht="13.2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</row>
    <row r="868" spans="1:39" ht="13.2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</row>
    <row r="869" spans="1:39" ht="13.2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</row>
    <row r="870" spans="1:39" ht="13.2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</row>
    <row r="871" spans="1:39" ht="13.2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</row>
    <row r="872" spans="1:39" ht="13.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</row>
    <row r="873" spans="1:39" ht="13.2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</row>
    <row r="874" spans="1:39" ht="13.2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</row>
    <row r="875" spans="1:39" ht="13.2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</row>
    <row r="876" spans="1:39" ht="13.2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</row>
    <row r="877" spans="1:39" ht="13.2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</row>
    <row r="878" spans="1:39" ht="13.2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</row>
    <row r="879" spans="1:39" ht="13.2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</row>
    <row r="880" spans="1:39" ht="13.2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</row>
    <row r="881" spans="1:39" ht="13.2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</row>
    <row r="882" spans="1:39" ht="13.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</row>
    <row r="883" spans="1:39" ht="13.2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</row>
    <row r="884" spans="1:39" ht="13.2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</row>
    <row r="885" spans="1:39" ht="13.2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</row>
    <row r="886" spans="1:39" ht="13.2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</row>
    <row r="887" spans="1:39" ht="13.2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</row>
    <row r="888" spans="1:39" ht="13.2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</row>
    <row r="889" spans="1:39" ht="13.2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</row>
    <row r="890" spans="1:39" ht="13.2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</row>
    <row r="891" spans="1:39" ht="13.2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</row>
    <row r="892" spans="1:39" ht="13.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</row>
    <row r="893" spans="1:39" ht="13.2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</row>
    <row r="894" spans="1:39" ht="13.2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</row>
    <row r="895" spans="1:39" ht="13.2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</row>
    <row r="896" spans="1:39" ht="13.2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</row>
    <row r="897" spans="1:39" ht="13.2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</row>
    <row r="898" spans="1:39" ht="13.2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</row>
    <row r="899" spans="1:39" ht="13.2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</row>
    <row r="900" spans="1:39" ht="13.2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</row>
    <row r="901" spans="1:39" ht="13.2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</row>
    <row r="902" spans="1:39" ht="13.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</row>
    <row r="903" spans="1:39" ht="13.2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</row>
    <row r="904" spans="1:39" ht="13.2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</row>
    <row r="905" spans="1:39" ht="13.2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</row>
    <row r="906" spans="1:39" ht="13.2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</row>
    <row r="907" spans="1:39" ht="13.2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</row>
    <row r="908" spans="1:39" ht="13.2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</row>
    <row r="909" spans="1:39" ht="13.2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</row>
    <row r="910" spans="1:39" ht="13.2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</row>
    <row r="911" spans="1:39" ht="13.2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</row>
    <row r="912" spans="1:39" ht="13.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</row>
    <row r="913" spans="1:39" ht="13.2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</row>
    <row r="914" spans="1:39" ht="13.2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</row>
    <row r="915" spans="1:39" ht="13.2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</row>
    <row r="916" spans="1:39" ht="13.2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</row>
    <row r="917" spans="1:39" ht="13.2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</row>
    <row r="918" spans="1:39" ht="13.2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</row>
    <row r="919" spans="1:39" ht="13.2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</row>
    <row r="920" spans="1:39" ht="13.2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</row>
    <row r="921" spans="1:39" ht="13.2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</row>
    <row r="922" spans="1:39" ht="13.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</row>
    <row r="923" spans="1:39" ht="13.2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</row>
    <row r="924" spans="1:39" ht="13.2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</row>
    <row r="925" spans="1:39" ht="13.2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</row>
    <row r="926" spans="1:39" ht="13.2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</row>
    <row r="927" spans="1:39" ht="13.2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</row>
    <row r="928" spans="1:39" ht="13.2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</row>
    <row r="929" spans="1:39" ht="13.2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</row>
    <row r="930" spans="1:39" ht="13.2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</row>
    <row r="931" spans="1:39" ht="13.2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</row>
    <row r="932" spans="1:39" ht="13.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</row>
    <row r="933" spans="1:39" ht="13.2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</row>
    <row r="934" spans="1:39" ht="13.2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</row>
    <row r="935" spans="1:39" ht="13.2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</row>
    <row r="936" spans="1:39" ht="13.2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</row>
    <row r="937" spans="1:39" ht="13.2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</row>
    <row r="938" spans="1:39" ht="13.2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</row>
    <row r="939" spans="1:39" ht="13.2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</row>
    <row r="940" spans="1:39" ht="13.2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</row>
    <row r="941" spans="1:39" ht="13.2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</row>
    <row r="942" spans="1:39" ht="13.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</row>
    <row r="943" spans="1:39" ht="13.2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</row>
    <row r="944" spans="1:39" ht="13.2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</row>
    <row r="945" spans="1:39" ht="13.2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</row>
    <row r="946" spans="1:39" ht="13.2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</row>
    <row r="947" spans="1:39" ht="13.2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</row>
    <row r="948" spans="1:39" ht="13.2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</row>
    <row r="949" spans="1:39" ht="13.2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</row>
    <row r="950" spans="1:39" ht="13.2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</row>
    <row r="951" spans="1:39" ht="13.2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</row>
    <row r="952" spans="1:39" ht="13.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</row>
    <row r="953" spans="1:39" ht="13.2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</row>
    <row r="954" spans="1:39" ht="13.2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</row>
    <row r="955" spans="1:39" ht="13.2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</row>
    <row r="956" spans="1:39" ht="13.2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</row>
    <row r="957" spans="1:39" ht="13.2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</row>
    <row r="958" spans="1:39" ht="13.2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</row>
    <row r="959" spans="1:39" ht="13.2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</row>
    <row r="960" spans="1:39" ht="13.2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</row>
    <row r="961" spans="1:39" ht="13.2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</row>
    <row r="962" spans="1:39" ht="13.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</row>
    <row r="963" spans="1:39" ht="13.2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</row>
    <row r="964" spans="1:39" ht="13.2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</row>
    <row r="965" spans="1:39" ht="13.2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</row>
    <row r="966" spans="1:39" ht="13.2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</row>
    <row r="967" spans="1:39" ht="13.2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</row>
    <row r="968" spans="1:39" ht="13.2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</row>
    <row r="969" spans="1:39" ht="13.2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</row>
    <row r="970" spans="1:39" ht="13.2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</row>
    <row r="971" spans="1:39" ht="13.2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</row>
    <row r="972" spans="1:39" ht="13.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</row>
    <row r="973" spans="1:39" ht="13.2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</row>
    <row r="974" spans="1:39" ht="13.2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</row>
    <row r="975" spans="1:39" ht="13.2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</row>
    <row r="976" spans="1:39" ht="13.2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</row>
    <row r="977" spans="1:39" ht="13.2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</row>
    <row r="978" spans="1:39" ht="13.2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</row>
    <row r="979" spans="1:39" ht="13.2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</row>
    <row r="980" spans="1:39" ht="13.2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</row>
    <row r="981" spans="1:39" ht="13.2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</row>
    <row r="982" spans="1:39" ht="13.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</row>
    <row r="983" spans="1:39" ht="13.2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</row>
    <row r="984" spans="1:39" ht="13.2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</row>
    <row r="985" spans="1:39" ht="13.2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</row>
    <row r="986" spans="1:39" ht="13.2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</row>
    <row r="987" spans="1:39" ht="13.2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</row>
    <row r="988" spans="1:39" ht="13.2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</row>
    <row r="989" spans="1:39" ht="13.2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</row>
    <row r="990" spans="1:39" ht="13.2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</row>
    <row r="991" spans="1:39" ht="13.2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</row>
    <row r="992" spans="1:39" ht="13.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</row>
    <row r="993" spans="1:39" ht="13.2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</row>
    <row r="994" spans="1:39" ht="13.2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</row>
    <row r="995" spans="1:39" ht="13.2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</row>
    <row r="996" spans="1:39" ht="13.2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</row>
    <row r="997" spans="1:39" ht="13.2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</row>
    <row r="998" spans="1:39" ht="13.2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</row>
    <row r="999" spans="1:39" ht="13.2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</row>
    <row r="1000" spans="1:39" ht="13.2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</row>
  </sheetData>
  <pageMargins left="0.7" right="0.7" top="0.75" bottom="0.75" header="0.3" footer="0.3"/>
  <tableParts count="2"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E2" sqref="E2"/>
    </sheetView>
  </sheetViews>
  <sheetFormatPr defaultColWidth="12.6640625" defaultRowHeight="15.75" customHeight="1"/>
  <cols>
    <col min="1" max="1" width="10.77734375" customWidth="1"/>
    <col min="2" max="2" width="16.33203125" customWidth="1"/>
    <col min="3" max="3" width="15.33203125" customWidth="1"/>
    <col min="6" max="26" width="12.6640625" hidden="1"/>
  </cols>
  <sheetData>
    <row r="1" spans="1:26" ht="13.2">
      <c r="A1" s="2" t="s">
        <v>2</v>
      </c>
      <c r="B1" s="2" t="s">
        <v>76</v>
      </c>
      <c r="C1" s="2" t="s">
        <v>77</v>
      </c>
      <c r="D1" s="2" t="s">
        <v>78</v>
      </c>
      <c r="E1" s="2" t="s">
        <v>28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2">
      <c r="A2" s="1" t="s">
        <v>15</v>
      </c>
      <c r="B2" s="6">
        <f>SUMIF(Sales!B:B,A2,Sales!D:D)</f>
        <v>181250</v>
      </c>
      <c r="C2" s="6">
        <f>SUM($B$2:B2)</f>
        <v>181250</v>
      </c>
      <c r="D2" s="25">
        <f>C2/SUM($B$2:$B$6)</f>
        <v>0.29447603574329811</v>
      </c>
      <c r="E2" s="13" t="str">
        <f>IF(D2&lt;=0.7,"A",IF(D2&lt;=0.9,"B","C"))</f>
        <v>A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2">
      <c r="A3" s="1" t="s">
        <v>26</v>
      </c>
      <c r="B3" s="6">
        <f>SUMIF(Sales!B:B,A3,Sales!D:D)</f>
        <v>178500</v>
      </c>
      <c r="C3" s="6">
        <f>SUM($B$2:B3)</f>
        <v>359750</v>
      </c>
      <c r="D3" s="25">
        <f>C3/SUM($B$2:$B$6)</f>
        <v>0.58448415922014618</v>
      </c>
      <c r="E3" s="13" t="str">
        <f>IF(D3&lt;=0.7,"A",IF(D3&lt;=0.9,"B","C"))</f>
        <v>A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2">
      <c r="A4" s="1" t="s">
        <v>21</v>
      </c>
      <c r="B4" s="6">
        <f>SUMIF(Sales!B:B,A4,Sales!D:D)</f>
        <v>109350</v>
      </c>
      <c r="C4" s="6">
        <f>SUM($B$2:B4)</f>
        <v>469100</v>
      </c>
      <c r="D4" s="25">
        <f>C4/SUM($B$2:$B$6)</f>
        <v>0.76214459788789601</v>
      </c>
      <c r="E4" s="13" t="str">
        <f>IF(D4&lt;=0.7,"A",IF(D4&lt;=0.9,"B","C"))</f>
        <v>B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2">
      <c r="A5" s="1" t="s">
        <v>18</v>
      </c>
      <c r="B5" s="6">
        <f>SUMIF(Sales!B:B,A5,Sales!D:D)</f>
        <v>77550</v>
      </c>
      <c r="C5" s="6">
        <f>SUM($B$2:B5)</f>
        <v>546650</v>
      </c>
      <c r="D5" s="25">
        <f>C5/SUM($B$2:$B$6)</f>
        <v>0.88813972380178718</v>
      </c>
      <c r="E5" s="13" t="str">
        <f>IF(D5&lt;=0.7,"A",IF(D5&lt;=0.9,"B","C"))</f>
        <v>B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2">
      <c r="A6" s="1" t="s">
        <v>24</v>
      </c>
      <c r="B6" s="6">
        <f>SUMIF(Sales!B:B,A6,Sales!D:D)</f>
        <v>68850</v>
      </c>
      <c r="C6" s="6">
        <f>SUM($B$2:B6)</f>
        <v>615500</v>
      </c>
      <c r="D6" s="25">
        <f>C6/SUM($B$2:$B$6)</f>
        <v>1</v>
      </c>
      <c r="E6" s="13" t="str">
        <f>IF(D6&lt;=0.7,"A",IF(D6&lt;=0.9,"B","C"))</f>
        <v>C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2" hidden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2" hidden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2" hidden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2" hidden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2" hidden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2" hidden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2" hidden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2" hidden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2" hidden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2" hidden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2" hidden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2" hidden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2" hidden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2" hidden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 hidden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2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2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2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2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2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showGridLines="0" workbookViewId="0">
      <selection activeCell="F2" sqref="F2"/>
    </sheetView>
  </sheetViews>
  <sheetFormatPr defaultColWidth="12.6640625" defaultRowHeight="15.75" customHeight="1"/>
  <cols>
    <col min="1" max="2" width="11" customWidth="1"/>
    <col min="3" max="3" width="14.6640625" customWidth="1"/>
    <col min="4" max="4" width="12.77734375" customWidth="1"/>
    <col min="5" max="26" width="11" customWidth="1"/>
  </cols>
  <sheetData>
    <row r="1" spans="1:26" ht="13.2">
      <c r="A1" s="2" t="s">
        <v>2</v>
      </c>
      <c r="B1" s="2" t="s">
        <v>79</v>
      </c>
      <c r="C1" s="2" t="s">
        <v>80</v>
      </c>
      <c r="D1" s="2" t="s">
        <v>81</v>
      </c>
      <c r="E1" s="2" t="s">
        <v>30</v>
      </c>
      <c r="F1" s="2" t="s">
        <v>82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2">
      <c r="A2" s="1" t="s">
        <v>15</v>
      </c>
      <c r="B2" s="6">
        <f>SUMIF(Inventory!A:A,A2,Inventory!C:C)</f>
        <v>1450</v>
      </c>
      <c r="C2" s="6">
        <f>AVERAGEIF(Sales!B:B,A2,Sales!C:C)</f>
        <v>1450</v>
      </c>
      <c r="D2" s="6">
        <f t="shared" ref="D2:D6" si="0">B2/(C2/30)</f>
        <v>30</v>
      </c>
      <c r="E2" s="6">
        <f>VLOOKUP(A2,Products!A1:F6,5,0)</f>
        <v>200</v>
      </c>
      <c r="F2" s="6" t="str">
        <f>IF(D2&lt;7,"Critical",IF(D2&lt;15,"Low",IF(D2&gt;45,"Excess","OK")))</f>
        <v>OK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2">
      <c r="A3" s="1" t="s">
        <v>18</v>
      </c>
      <c r="B3" s="6">
        <f>SUMIF(Inventory!A:A,A3,Inventory!C:C)</f>
        <v>920</v>
      </c>
      <c r="C3" s="6">
        <f>AVERAGEIF(Sales!B:B,A3,Sales!C:C)</f>
        <v>1034</v>
      </c>
      <c r="D3" s="12">
        <f t="shared" si="0"/>
        <v>26.69245647969052</v>
      </c>
      <c r="E3" s="6">
        <f>VLOOKUP(A3,Products!A2:F7,5,0)</f>
        <v>150</v>
      </c>
      <c r="F3" s="6" t="str">
        <f>IF(D3&lt;7,"Critical",IF(D3&lt;15,"Low",IF(D3&gt;45,"Excess","OK")))</f>
        <v>OK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2">
      <c r="A4" s="1" t="s">
        <v>21</v>
      </c>
      <c r="B4" s="6">
        <f>SUMIF(Inventory!A:A,A4,Inventory!C:C)</f>
        <v>945</v>
      </c>
      <c r="C4" s="6">
        <f>AVERAGEIF(Sales!B:B,A4,Sales!C:C)</f>
        <v>486</v>
      </c>
      <c r="D4" s="12">
        <f t="shared" si="0"/>
        <v>58.333333333333336</v>
      </c>
      <c r="E4" s="6">
        <f>VLOOKUP(A4,Products!A3:F8,5,0)</f>
        <v>100</v>
      </c>
      <c r="F4" s="6" t="str">
        <f>IF(D4&lt;7,"Critical",IF(D4&lt;15,"Low",IF(D4&gt;45,"Excess","OK")))</f>
        <v>Excess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2">
      <c r="A5" s="1" t="s">
        <v>24</v>
      </c>
      <c r="B5" s="6">
        <f>SUMIF(Inventory!A:A,A5,Inventory!C:C)</f>
        <v>220</v>
      </c>
      <c r="C5" s="6">
        <f>AVERAGEIF(Sales!B:B,A5,Sales!C:C)</f>
        <v>162</v>
      </c>
      <c r="D5" s="12">
        <f t="shared" si="0"/>
        <v>40.74074074074074</v>
      </c>
      <c r="E5" s="6">
        <f>VLOOKUP(A5,Products!A4:F9,5,0)</f>
        <v>50</v>
      </c>
      <c r="F5" s="6" t="str">
        <f>IF(D5&lt;7,"Critical",IF(D5&lt;15,"Low",IF(D5&gt;45,"Excess","OK")))</f>
        <v>OK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2">
      <c r="A6" s="1" t="s">
        <v>26</v>
      </c>
      <c r="B6" s="6">
        <f>SUMIF(Inventory!A:A,A6,Inventory!C:C)</f>
        <v>1220</v>
      </c>
      <c r="C6" s="6">
        <f>AVERAGEIF(Sales!B:B,A6,Sales!C:C)</f>
        <v>1190</v>
      </c>
      <c r="D6" s="12">
        <f t="shared" si="0"/>
        <v>30.756302521008404</v>
      </c>
      <c r="E6" s="6">
        <f>VLOOKUP(A6,Products!A5:F10,5,0)</f>
        <v>175</v>
      </c>
      <c r="F6" s="6" t="str">
        <f>IF(D6&lt;7,"Critical",IF(D6&lt;15,"Low",IF(D6&gt;45,"Excess","OK")))</f>
        <v>OK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2" hidden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2" hidden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2" hidden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2" hidden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2" hidden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2" hidden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2" hidden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2" hidden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2" hidden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2" hidden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2" hidden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2" hidden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2" hidden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2" hidden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 hidden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2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2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2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2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2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8FF1-C6E0-43B8-A78B-114F4024FB3C}">
  <dimension ref="A1:H4"/>
  <sheetViews>
    <sheetView zoomScale="89" workbookViewId="0">
      <selection activeCell="G2" sqref="G1:G1048576"/>
    </sheetView>
  </sheetViews>
  <sheetFormatPr defaultRowHeight="13.2"/>
  <cols>
    <col min="5" max="5" width="15.44140625" bestFit="1" customWidth="1"/>
    <col min="7" max="7" width="17.77734375" customWidth="1"/>
  </cols>
  <sheetData>
    <row r="1" spans="1:8" ht="15.6">
      <c r="A1" s="38" t="s">
        <v>85</v>
      </c>
      <c r="B1" s="38"/>
      <c r="C1" s="38"/>
      <c r="D1" s="38"/>
      <c r="E1" s="38"/>
      <c r="F1" s="38"/>
      <c r="G1" s="38"/>
      <c r="H1" s="38"/>
    </row>
    <row r="3" spans="1:8">
      <c r="A3" s="39" t="s">
        <v>86</v>
      </c>
      <c r="C3" s="39" t="s">
        <v>87</v>
      </c>
      <c r="E3" s="39" t="s">
        <v>88</v>
      </c>
      <c r="G3" s="39" t="s">
        <v>89</v>
      </c>
    </row>
    <row r="4" spans="1:8" ht="17.399999999999999">
      <c r="A4" s="40">
        <f>COUNTA(Orders!A2:A1001)</f>
        <v>20</v>
      </c>
      <c r="C4" s="41">
        <f>COUNTIF(Orders!M2:M1001,"Yes")/COUNTA(Orders!A2:A1001)</f>
        <v>0.55000000000000004</v>
      </c>
      <c r="E4" s="43">
        <f>SUM(Inventory!C2:C21)</f>
        <v>4755</v>
      </c>
      <c r="G4" s="42">
        <f>SUM(Orders!J2:J1001)</f>
        <v>147550</v>
      </c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</vt:lpstr>
      <vt:lpstr>Products</vt:lpstr>
      <vt:lpstr>Suppliers</vt:lpstr>
      <vt:lpstr>Inventory</vt:lpstr>
      <vt:lpstr>Sales</vt:lpstr>
      <vt:lpstr>Metrics</vt:lpstr>
      <vt:lpstr>ABC_Analysis</vt:lpstr>
      <vt:lpstr>Inventory_Health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labh</cp:lastModifiedBy>
  <dcterms:modified xsi:type="dcterms:W3CDTF">2026-10-28T15:35:52Z</dcterms:modified>
</cp:coreProperties>
</file>